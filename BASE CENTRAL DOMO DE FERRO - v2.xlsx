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energisa-my.sharepoint.com/personal/steffany_goncalves_energisa_com_br/Documents/Imagens/Central do Cliente/Boletins/domo de ferro/"/>
    </mc:Choice>
  </mc:AlternateContent>
  <xr:revisionPtr revIDLastSave="0" documentId="8_{AC89D98A-F450-4F00-A475-9630181421D1}" xr6:coauthVersionLast="47" xr6:coauthVersionMax="47" xr10:uidLastSave="{00000000-0000-0000-0000-000000000000}"/>
  <bookViews>
    <workbookView xWindow="-120" yWindow="-120" windowWidth="20730" windowHeight="11040" tabRatio="767" activeTab="1" xr2:uid="{00000000-000D-0000-FFFF-FFFF00000000}"/>
  </bookViews>
  <sheets>
    <sheet name="DOMO" sheetId="2" r:id="rId1"/>
    <sheet name="RESUMO" sheetId="4" r:id="rId2"/>
    <sheet name="Analitico" sheetId="50" r:id="rId3"/>
    <sheet name="Prioridades s-atual" sheetId="40" r:id="rId4"/>
    <sheet name="Prioridades s-1" sheetId="33" r:id="rId5"/>
    <sheet name="pontos focais" sheetId="36" r:id="rId6"/>
  </sheets>
  <externalReferences>
    <externalReference r:id="rId7"/>
  </externalReferences>
  <definedNames>
    <definedName name="_xlnm._FilterDatabase" localSheetId="0" hidden="1">DOMO!$A$1:$AV$215</definedName>
  </definedNames>
  <calcPr calcId="191029"/>
  <pivotCaches>
    <pivotCache cacheId="8" r:id="rId8"/>
    <pivotCache cacheId="9"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4" l="1"/>
  <c r="G4" i="40"/>
  <c r="G8" i="40"/>
  <c r="G9" i="40"/>
  <c r="G5" i="40"/>
  <c r="G7" i="40"/>
  <c r="G12" i="40"/>
  <c r="G18" i="40"/>
  <c r="G15" i="40"/>
  <c r="G13" i="40"/>
  <c r="G14" i="40"/>
  <c r="G11" i="40"/>
  <c r="G20" i="40"/>
  <c r="G16" i="40"/>
  <c r="G6" i="40"/>
  <c r="G19" i="40"/>
  <c r="G10" i="40"/>
  <c r="G17" i="40"/>
  <c r="I192" i="4"/>
  <c r="C185" i="4"/>
  <c r="D185" i="4" s="1"/>
  <c r="D184" i="4"/>
  <c r="D183" i="4"/>
  <c r="D182" i="4"/>
  <c r="C184" i="4"/>
  <c r="C183" i="4"/>
  <c r="C182" i="4"/>
  <c r="J9" i="4"/>
  <c r="K4" i="4"/>
  <c r="AN206" i="2"/>
  <c r="AO206" i="2"/>
  <c r="AP206" i="2" s="1"/>
  <c r="AQ206" i="2"/>
  <c r="AR206" i="2"/>
  <c r="AS206" i="2"/>
  <c r="AT206" i="2"/>
  <c r="AU206" i="2"/>
  <c r="AV206" i="2"/>
  <c r="AN207" i="2"/>
  <c r="AO207" i="2"/>
  <c r="AP207" i="2" s="1"/>
  <c r="AQ207" i="2"/>
  <c r="AR207" i="2"/>
  <c r="AS207" i="2"/>
  <c r="AT207" i="2"/>
  <c r="AU207" i="2"/>
  <c r="AV207" i="2"/>
  <c r="AN208" i="2"/>
  <c r="AO208" i="2"/>
  <c r="AP208" i="2" s="1"/>
  <c r="AQ208" i="2"/>
  <c r="AR208" i="2"/>
  <c r="AS208" i="2"/>
  <c r="AT208" i="2"/>
  <c r="AU208" i="2"/>
  <c r="AV208" i="2"/>
  <c r="AN209" i="2"/>
  <c r="AO209" i="2"/>
  <c r="AP209" i="2" s="1"/>
  <c r="AQ209" i="2"/>
  <c r="AR209" i="2"/>
  <c r="AS209" i="2"/>
  <c r="AT209" i="2"/>
  <c r="AU209" i="2"/>
  <c r="AV209" i="2"/>
  <c r="AN210" i="2"/>
  <c r="AO210" i="2"/>
  <c r="AP210" i="2" s="1"/>
  <c r="AQ210" i="2"/>
  <c r="AR210" i="2"/>
  <c r="AS210" i="2"/>
  <c r="AT210" i="2"/>
  <c r="AU210" i="2"/>
  <c r="AV210" i="2"/>
  <c r="AN211" i="2"/>
  <c r="AO211" i="2"/>
  <c r="AP211" i="2" s="1"/>
  <c r="AQ211" i="2"/>
  <c r="AR211" i="2"/>
  <c r="AS211" i="2"/>
  <c r="AT211" i="2"/>
  <c r="AU211" i="2"/>
  <c r="AV211" i="2"/>
  <c r="AN212" i="2"/>
  <c r="AO212" i="2"/>
  <c r="AP212" i="2" s="1"/>
  <c r="AQ212" i="2"/>
  <c r="AR212" i="2"/>
  <c r="AS212" i="2"/>
  <c r="AT212" i="2"/>
  <c r="AU212" i="2"/>
  <c r="AV212" i="2"/>
  <c r="AN213" i="2"/>
  <c r="AO213" i="2"/>
  <c r="AP213" i="2" s="1"/>
  <c r="AQ213" i="2"/>
  <c r="AR213" i="2"/>
  <c r="AS213" i="2"/>
  <c r="AT213" i="2"/>
  <c r="AU213" i="2"/>
  <c r="AV213" i="2"/>
  <c r="AN214" i="2"/>
  <c r="AO214" i="2"/>
  <c r="AP214" i="2" s="1"/>
  <c r="AQ214" i="2"/>
  <c r="AR214" i="2"/>
  <c r="AS214" i="2"/>
  <c r="AT214" i="2"/>
  <c r="AU214" i="2"/>
  <c r="AV214" i="2"/>
  <c r="AN215" i="2"/>
  <c r="AO215" i="2"/>
  <c r="AP215" i="2" s="1"/>
  <c r="AQ215" i="2"/>
  <c r="AR215" i="2"/>
  <c r="AS215" i="2"/>
  <c r="AT215" i="2"/>
  <c r="AU215" i="2"/>
  <c r="AV215" i="2"/>
  <c r="AU3" i="2" l="1"/>
  <c r="AU4" i="2"/>
  <c r="AU5" i="2"/>
  <c r="AU6" i="2"/>
  <c r="AU7" i="2"/>
  <c r="AU8" i="2"/>
  <c r="AU9" i="2"/>
  <c r="AU10" i="2"/>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3" i="2"/>
  <c r="AU64" i="2"/>
  <c r="AU65" i="2"/>
  <c r="AU66" i="2"/>
  <c r="AU67" i="2"/>
  <c r="AU68" i="2"/>
  <c r="AU69" i="2"/>
  <c r="AU70" i="2"/>
  <c r="AU71" i="2"/>
  <c r="AU72" i="2"/>
  <c r="AU74" i="2"/>
  <c r="AU75" i="2"/>
  <c r="AU76" i="2"/>
  <c r="AU77" i="2"/>
  <c r="AU78" i="2"/>
  <c r="AU79" i="2"/>
  <c r="AU80" i="2"/>
  <c r="AU81" i="2"/>
  <c r="AU82" i="2"/>
  <c r="AU83" i="2"/>
  <c r="AU85" i="2"/>
  <c r="AU86" i="2"/>
  <c r="AU87" i="2"/>
  <c r="AU88" i="2"/>
  <c r="AU89" i="2"/>
  <c r="AU90" i="2"/>
  <c r="AU91" i="2"/>
  <c r="AU92" i="2"/>
  <c r="AU93" i="2"/>
  <c r="AU94" i="2"/>
  <c r="AU95" i="2"/>
  <c r="AU96" i="2"/>
  <c r="AU97" i="2"/>
  <c r="AU98" i="2"/>
  <c r="AU100" i="2"/>
  <c r="AU101" i="2"/>
  <c r="AU102" i="2"/>
  <c r="AU103" i="2"/>
  <c r="AU104" i="2"/>
  <c r="AU106" i="2"/>
  <c r="AU107" i="2"/>
  <c r="AU108" i="2"/>
  <c r="AU109" i="2"/>
  <c r="AU110" i="2"/>
  <c r="AU111" i="2"/>
  <c r="AU112" i="2"/>
  <c r="AU113" i="2"/>
  <c r="AU114" i="2"/>
  <c r="AU115"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U141" i="2"/>
  <c r="AU142" i="2"/>
  <c r="AU143" i="2"/>
  <c r="AU144" i="2"/>
  <c r="AU145" i="2"/>
  <c r="AU146" i="2"/>
  <c r="AU147" i="2"/>
  <c r="AU148" i="2"/>
  <c r="AU150" i="2"/>
  <c r="AU151" i="2"/>
  <c r="AU153" i="2"/>
  <c r="AU154" i="2"/>
  <c r="AU155" i="2"/>
  <c r="AU156" i="2"/>
  <c r="AU157" i="2"/>
  <c r="AU158" i="2"/>
  <c r="AU159" i="2"/>
  <c r="AU160" i="2"/>
  <c r="AU161" i="2"/>
  <c r="AU162" i="2"/>
  <c r="AU163" i="2"/>
  <c r="AU164" i="2"/>
  <c r="AU167" i="2"/>
  <c r="AU168" i="2"/>
  <c r="AU169" i="2"/>
  <c r="AU170" i="2"/>
  <c r="AU171" i="2"/>
  <c r="AU172" i="2"/>
  <c r="AU173" i="2"/>
  <c r="AU174" i="2"/>
  <c r="AU175" i="2"/>
  <c r="AU176" i="2"/>
  <c r="AU177" i="2"/>
  <c r="AU178" i="2"/>
  <c r="AU179" i="2"/>
  <c r="AU180" i="2"/>
  <c r="AU181" i="2"/>
  <c r="AU182" i="2"/>
  <c r="AU183" i="2"/>
  <c r="AU184" i="2"/>
  <c r="AU185" i="2"/>
  <c r="AU186" i="2"/>
  <c r="AU187" i="2"/>
  <c r="AU188" i="2"/>
  <c r="AU189" i="2"/>
  <c r="AU190" i="2"/>
  <c r="AU191" i="2"/>
  <c r="AU192" i="2"/>
  <c r="AU193" i="2"/>
  <c r="AU194" i="2"/>
  <c r="AU196" i="2"/>
  <c r="AU197" i="2"/>
  <c r="AU198" i="2"/>
  <c r="AU199" i="2"/>
  <c r="AU200" i="2"/>
  <c r="AU201" i="2"/>
  <c r="AU202" i="2"/>
  <c r="AU203" i="2"/>
  <c r="AU204" i="2"/>
  <c r="AU205" i="2"/>
  <c r="AU2" i="2"/>
  <c r="AN196" i="2"/>
  <c r="AO196" i="2"/>
  <c r="AP196" i="2" s="1"/>
  <c r="AQ196" i="2"/>
  <c r="AR196" i="2"/>
  <c r="AS196" i="2"/>
  <c r="AT196" i="2"/>
  <c r="AV196" i="2"/>
  <c r="AN197" i="2"/>
  <c r="AO197" i="2"/>
  <c r="AP197" i="2" s="1"/>
  <c r="AQ197" i="2"/>
  <c r="AR197" i="2"/>
  <c r="AS197" i="2"/>
  <c r="AT197" i="2"/>
  <c r="AV197" i="2"/>
  <c r="AN198" i="2"/>
  <c r="AO198" i="2"/>
  <c r="AP198" i="2" s="1"/>
  <c r="AQ198" i="2"/>
  <c r="AR198" i="2"/>
  <c r="AS198" i="2"/>
  <c r="AT198" i="2"/>
  <c r="AV198" i="2"/>
  <c r="AN199" i="2"/>
  <c r="AO199" i="2"/>
  <c r="AP199" i="2" s="1"/>
  <c r="AQ199" i="2"/>
  <c r="AR199" i="2"/>
  <c r="AS199" i="2"/>
  <c r="AT199" i="2"/>
  <c r="AV199" i="2"/>
  <c r="AN200" i="2"/>
  <c r="AO200" i="2"/>
  <c r="AP200" i="2" s="1"/>
  <c r="AQ200" i="2"/>
  <c r="AR200" i="2"/>
  <c r="AS200" i="2"/>
  <c r="AT200" i="2"/>
  <c r="AV200" i="2"/>
  <c r="AN201" i="2"/>
  <c r="AO201" i="2"/>
  <c r="AP201" i="2" s="1"/>
  <c r="AQ201" i="2"/>
  <c r="AR201" i="2"/>
  <c r="AS201" i="2"/>
  <c r="AT201" i="2"/>
  <c r="AV201" i="2"/>
  <c r="AN202" i="2"/>
  <c r="AO202" i="2"/>
  <c r="AP202" i="2" s="1"/>
  <c r="AQ202" i="2"/>
  <c r="AR202" i="2"/>
  <c r="AS202" i="2"/>
  <c r="AT202" i="2"/>
  <c r="AV202" i="2"/>
  <c r="AN203" i="2"/>
  <c r="AO203" i="2"/>
  <c r="AP203" i="2" s="1"/>
  <c r="AQ203" i="2"/>
  <c r="AR203" i="2"/>
  <c r="AS203" i="2"/>
  <c r="AT203" i="2"/>
  <c r="AV203" i="2"/>
  <c r="AN204" i="2"/>
  <c r="AO204" i="2"/>
  <c r="AP204" i="2" s="1"/>
  <c r="AQ204" i="2"/>
  <c r="AR204" i="2"/>
  <c r="AS204" i="2"/>
  <c r="AT204" i="2"/>
  <c r="AV204" i="2"/>
  <c r="AN205" i="2"/>
  <c r="AO205" i="2"/>
  <c r="AP205" i="2" s="1"/>
  <c r="AQ205" i="2"/>
  <c r="AR205" i="2"/>
  <c r="AS205" i="2"/>
  <c r="AT205" i="2"/>
  <c r="AV205" i="2"/>
  <c r="AN2" i="2"/>
  <c r="AO2" i="2"/>
  <c r="AP2" i="2" s="1"/>
  <c r="AQ2" i="2"/>
  <c r="AR2" i="2"/>
  <c r="AS2" i="2"/>
  <c r="AT2" i="2"/>
  <c r="AV2" i="2"/>
  <c r="AN3" i="2"/>
  <c r="AO3" i="2"/>
  <c r="AP3" i="2" s="1"/>
  <c r="AQ3" i="2"/>
  <c r="AR3" i="2"/>
  <c r="AS3" i="2"/>
  <c r="AT3" i="2"/>
  <c r="AV3" i="2"/>
  <c r="AN4" i="2"/>
  <c r="AO4" i="2"/>
  <c r="AP4" i="2" s="1"/>
  <c r="AQ4" i="2"/>
  <c r="AR4" i="2"/>
  <c r="AS4" i="2"/>
  <c r="AT4" i="2"/>
  <c r="AV4" i="2"/>
  <c r="AN5" i="2"/>
  <c r="AO5" i="2"/>
  <c r="AP5" i="2" s="1"/>
  <c r="AQ5" i="2"/>
  <c r="AR5" i="2"/>
  <c r="AS5" i="2"/>
  <c r="AT5" i="2"/>
  <c r="AV5" i="2"/>
  <c r="AN6" i="2"/>
  <c r="AO6" i="2"/>
  <c r="AP6" i="2" s="1"/>
  <c r="AQ6" i="2"/>
  <c r="AR6" i="2"/>
  <c r="AS6" i="2"/>
  <c r="AT6" i="2"/>
  <c r="AV6" i="2"/>
  <c r="AN7" i="2"/>
  <c r="AO7" i="2"/>
  <c r="AP7" i="2" s="1"/>
  <c r="AQ7" i="2"/>
  <c r="AR7" i="2"/>
  <c r="AS7" i="2"/>
  <c r="AT7" i="2"/>
  <c r="AV7" i="2"/>
  <c r="AN8" i="2"/>
  <c r="AO8" i="2"/>
  <c r="AP8" i="2" s="1"/>
  <c r="AQ8" i="2"/>
  <c r="AR8" i="2"/>
  <c r="AS8" i="2"/>
  <c r="AT8" i="2"/>
  <c r="AV8" i="2"/>
  <c r="AN9" i="2"/>
  <c r="AO9" i="2"/>
  <c r="AP9" i="2" s="1"/>
  <c r="AQ9" i="2"/>
  <c r="AR9" i="2"/>
  <c r="AS9" i="2"/>
  <c r="AT9" i="2"/>
  <c r="AV9" i="2"/>
  <c r="AN10" i="2"/>
  <c r="AO10" i="2"/>
  <c r="AP10" i="2" s="1"/>
  <c r="AQ10" i="2"/>
  <c r="AR10" i="2"/>
  <c r="AS10" i="2"/>
  <c r="AT10" i="2"/>
  <c r="AV10" i="2"/>
  <c r="AN11" i="2"/>
  <c r="AO11" i="2"/>
  <c r="AP11" i="2" s="1"/>
  <c r="AQ11" i="2"/>
  <c r="AR11" i="2"/>
  <c r="AS11" i="2"/>
  <c r="AT11" i="2"/>
  <c r="AV11" i="2"/>
  <c r="AN12" i="2"/>
  <c r="AO12" i="2"/>
  <c r="AP12" i="2" s="1"/>
  <c r="AQ12" i="2"/>
  <c r="AR12" i="2"/>
  <c r="AS12" i="2"/>
  <c r="AT12" i="2"/>
  <c r="AV12" i="2"/>
  <c r="AN13" i="2"/>
  <c r="AO13" i="2"/>
  <c r="AP13" i="2" s="1"/>
  <c r="AQ13" i="2"/>
  <c r="AR13" i="2"/>
  <c r="AS13" i="2"/>
  <c r="AT13" i="2"/>
  <c r="AV13" i="2"/>
  <c r="AN14" i="2"/>
  <c r="AO14" i="2"/>
  <c r="AP14" i="2" s="1"/>
  <c r="AQ14" i="2"/>
  <c r="AR14" i="2"/>
  <c r="AS14" i="2"/>
  <c r="AT14" i="2"/>
  <c r="AV14" i="2"/>
  <c r="AN15" i="2"/>
  <c r="AO15" i="2"/>
  <c r="AP15" i="2" s="1"/>
  <c r="AQ15" i="2"/>
  <c r="AR15" i="2"/>
  <c r="AS15" i="2"/>
  <c r="AT15" i="2"/>
  <c r="AV15" i="2"/>
  <c r="AN16" i="2"/>
  <c r="AO16" i="2"/>
  <c r="AP16" i="2" s="1"/>
  <c r="AQ16" i="2"/>
  <c r="AR16" i="2"/>
  <c r="AS16" i="2"/>
  <c r="AT16" i="2"/>
  <c r="AV16" i="2"/>
  <c r="AN17" i="2"/>
  <c r="AO17" i="2"/>
  <c r="AP17" i="2" s="1"/>
  <c r="AQ17" i="2"/>
  <c r="AR17" i="2"/>
  <c r="AS17" i="2"/>
  <c r="AT17" i="2"/>
  <c r="AV17" i="2"/>
  <c r="AN18" i="2"/>
  <c r="AO18" i="2"/>
  <c r="AP18" i="2" s="1"/>
  <c r="AQ18" i="2"/>
  <c r="AR18" i="2"/>
  <c r="AS18" i="2"/>
  <c r="AT18" i="2"/>
  <c r="AV18" i="2"/>
  <c r="AN19" i="2"/>
  <c r="AO19" i="2"/>
  <c r="AP19" i="2" s="1"/>
  <c r="AQ19" i="2"/>
  <c r="AR19" i="2"/>
  <c r="AS19" i="2"/>
  <c r="AT19" i="2"/>
  <c r="AV19" i="2"/>
  <c r="AN20" i="2"/>
  <c r="AO20" i="2"/>
  <c r="AP20" i="2" s="1"/>
  <c r="AQ20" i="2"/>
  <c r="AR20" i="2"/>
  <c r="AS20" i="2"/>
  <c r="AT20" i="2"/>
  <c r="AV20" i="2"/>
  <c r="AN21" i="2"/>
  <c r="AO21" i="2"/>
  <c r="AP21" i="2" s="1"/>
  <c r="AQ21" i="2"/>
  <c r="AR21" i="2"/>
  <c r="AS21" i="2"/>
  <c r="AT21" i="2"/>
  <c r="AV21" i="2"/>
  <c r="AN22" i="2"/>
  <c r="AO22" i="2"/>
  <c r="AP22" i="2" s="1"/>
  <c r="AQ22" i="2"/>
  <c r="AR22" i="2"/>
  <c r="AS22" i="2"/>
  <c r="AT22" i="2"/>
  <c r="AV22" i="2"/>
  <c r="AN23" i="2"/>
  <c r="AO23" i="2"/>
  <c r="AP23" i="2" s="1"/>
  <c r="AQ23" i="2"/>
  <c r="AR23" i="2"/>
  <c r="AS23" i="2"/>
  <c r="AT23" i="2"/>
  <c r="AV23" i="2"/>
  <c r="AN24" i="2"/>
  <c r="AO24" i="2"/>
  <c r="AP24" i="2" s="1"/>
  <c r="AQ24" i="2"/>
  <c r="AR24" i="2"/>
  <c r="AS24" i="2"/>
  <c r="AT24" i="2"/>
  <c r="AV24" i="2"/>
  <c r="AN25" i="2"/>
  <c r="AO25" i="2"/>
  <c r="AP25" i="2" s="1"/>
  <c r="AQ25" i="2"/>
  <c r="AR25" i="2"/>
  <c r="AS25" i="2"/>
  <c r="AT25" i="2"/>
  <c r="AV25" i="2"/>
  <c r="AN26" i="2"/>
  <c r="AO26" i="2"/>
  <c r="AP26" i="2" s="1"/>
  <c r="AQ26" i="2"/>
  <c r="AR26" i="2"/>
  <c r="AS26" i="2"/>
  <c r="AT26" i="2"/>
  <c r="AV26" i="2"/>
  <c r="AN27" i="2"/>
  <c r="AO27" i="2"/>
  <c r="AP27" i="2" s="1"/>
  <c r="AQ27" i="2"/>
  <c r="AR27" i="2"/>
  <c r="AS27" i="2"/>
  <c r="AT27" i="2"/>
  <c r="AV27" i="2"/>
  <c r="AN28" i="2"/>
  <c r="AO28" i="2"/>
  <c r="AP28" i="2" s="1"/>
  <c r="AQ28" i="2"/>
  <c r="AR28" i="2"/>
  <c r="AS28" i="2"/>
  <c r="AT28" i="2"/>
  <c r="AV28" i="2"/>
  <c r="AN29" i="2"/>
  <c r="AO29" i="2"/>
  <c r="AP29" i="2" s="1"/>
  <c r="AQ29" i="2"/>
  <c r="AR29" i="2"/>
  <c r="AS29" i="2"/>
  <c r="AT29" i="2"/>
  <c r="AV29" i="2"/>
  <c r="AN30" i="2"/>
  <c r="AO30" i="2"/>
  <c r="AP30" i="2" s="1"/>
  <c r="AQ30" i="2"/>
  <c r="AR30" i="2"/>
  <c r="AS30" i="2"/>
  <c r="AT30" i="2"/>
  <c r="AV30" i="2"/>
  <c r="AN31" i="2"/>
  <c r="AO31" i="2"/>
  <c r="AP31" i="2" s="1"/>
  <c r="AQ31" i="2"/>
  <c r="AR31" i="2"/>
  <c r="AS31" i="2"/>
  <c r="AT31" i="2"/>
  <c r="AV31" i="2"/>
  <c r="AN32" i="2"/>
  <c r="AO32" i="2"/>
  <c r="AP32" i="2" s="1"/>
  <c r="AQ32" i="2"/>
  <c r="AR32" i="2"/>
  <c r="AS32" i="2"/>
  <c r="AT32" i="2"/>
  <c r="AV32" i="2"/>
  <c r="AN33" i="2"/>
  <c r="AO33" i="2"/>
  <c r="AP33" i="2" s="1"/>
  <c r="AQ33" i="2"/>
  <c r="AR33" i="2"/>
  <c r="AS33" i="2"/>
  <c r="AT33" i="2"/>
  <c r="AV33" i="2"/>
  <c r="AN34" i="2"/>
  <c r="AO34" i="2"/>
  <c r="AP34" i="2" s="1"/>
  <c r="AQ34" i="2"/>
  <c r="AR34" i="2"/>
  <c r="AS34" i="2"/>
  <c r="AT34" i="2"/>
  <c r="AV34" i="2"/>
  <c r="AN35" i="2"/>
  <c r="AO35" i="2"/>
  <c r="AP35" i="2" s="1"/>
  <c r="AQ35" i="2"/>
  <c r="AR35" i="2"/>
  <c r="AS35" i="2"/>
  <c r="AT35" i="2"/>
  <c r="AV35" i="2"/>
  <c r="AN36" i="2"/>
  <c r="AO36" i="2"/>
  <c r="AP36" i="2" s="1"/>
  <c r="AQ36" i="2"/>
  <c r="AR36" i="2"/>
  <c r="AS36" i="2"/>
  <c r="AT36" i="2"/>
  <c r="AV36" i="2"/>
  <c r="AN37" i="2"/>
  <c r="AO37" i="2"/>
  <c r="AP37" i="2" s="1"/>
  <c r="AQ37" i="2"/>
  <c r="AR37" i="2"/>
  <c r="AS37" i="2"/>
  <c r="AT37" i="2"/>
  <c r="AV37" i="2"/>
  <c r="AN38" i="2"/>
  <c r="AO38" i="2"/>
  <c r="AP38" i="2" s="1"/>
  <c r="AQ38" i="2"/>
  <c r="AR38" i="2"/>
  <c r="AS38" i="2"/>
  <c r="AT38" i="2"/>
  <c r="AV38" i="2"/>
  <c r="AN39" i="2"/>
  <c r="AO39" i="2"/>
  <c r="AP39" i="2" s="1"/>
  <c r="AQ39" i="2"/>
  <c r="AR39" i="2"/>
  <c r="AS39" i="2"/>
  <c r="AT39" i="2"/>
  <c r="AV39" i="2"/>
  <c r="AN40" i="2"/>
  <c r="AO40" i="2"/>
  <c r="AP40" i="2" s="1"/>
  <c r="AQ40" i="2"/>
  <c r="AR40" i="2"/>
  <c r="AS40" i="2"/>
  <c r="AT40" i="2"/>
  <c r="AV40" i="2"/>
  <c r="AN41" i="2"/>
  <c r="AO41" i="2"/>
  <c r="AP41" i="2" s="1"/>
  <c r="AQ41" i="2"/>
  <c r="AR41" i="2"/>
  <c r="AS41" i="2"/>
  <c r="AT41" i="2"/>
  <c r="AV41" i="2"/>
  <c r="AN42" i="2"/>
  <c r="AO42" i="2"/>
  <c r="AP42" i="2" s="1"/>
  <c r="AQ42" i="2"/>
  <c r="AR42" i="2"/>
  <c r="AS42" i="2"/>
  <c r="AT42" i="2"/>
  <c r="AV42" i="2"/>
  <c r="AN43" i="2"/>
  <c r="AO43" i="2"/>
  <c r="AP43" i="2" s="1"/>
  <c r="AQ43" i="2"/>
  <c r="AR43" i="2"/>
  <c r="AS43" i="2"/>
  <c r="AT43" i="2"/>
  <c r="AV43" i="2"/>
  <c r="AN44" i="2"/>
  <c r="AO44" i="2"/>
  <c r="AP44" i="2" s="1"/>
  <c r="AQ44" i="2"/>
  <c r="AR44" i="2"/>
  <c r="AS44" i="2"/>
  <c r="AT44" i="2"/>
  <c r="AV44" i="2"/>
  <c r="AN45" i="2"/>
  <c r="AO45" i="2"/>
  <c r="AP45" i="2" s="1"/>
  <c r="AQ45" i="2"/>
  <c r="AR45" i="2"/>
  <c r="AS45" i="2"/>
  <c r="AT45" i="2"/>
  <c r="AV45" i="2"/>
  <c r="AN46" i="2"/>
  <c r="AO46" i="2"/>
  <c r="AP46" i="2" s="1"/>
  <c r="AQ46" i="2"/>
  <c r="AR46" i="2"/>
  <c r="AS46" i="2"/>
  <c r="AT46" i="2"/>
  <c r="AV46" i="2"/>
  <c r="AN47" i="2"/>
  <c r="AO47" i="2"/>
  <c r="AP47" i="2" s="1"/>
  <c r="AQ47" i="2"/>
  <c r="AR47" i="2"/>
  <c r="AS47" i="2"/>
  <c r="AT47" i="2"/>
  <c r="AV47" i="2"/>
  <c r="AN48" i="2"/>
  <c r="AO48" i="2"/>
  <c r="AP48" i="2" s="1"/>
  <c r="AQ48" i="2"/>
  <c r="AR48" i="2"/>
  <c r="AS48" i="2"/>
  <c r="AT48" i="2"/>
  <c r="AV48" i="2"/>
  <c r="AN49" i="2"/>
  <c r="AO49" i="2"/>
  <c r="AP49" i="2" s="1"/>
  <c r="AQ49" i="2"/>
  <c r="AR49" i="2"/>
  <c r="AS49" i="2"/>
  <c r="AT49" i="2"/>
  <c r="AV49" i="2"/>
  <c r="AN50" i="2"/>
  <c r="AO50" i="2"/>
  <c r="AP50" i="2" s="1"/>
  <c r="AQ50" i="2"/>
  <c r="AR50" i="2"/>
  <c r="AS50" i="2"/>
  <c r="AT50" i="2"/>
  <c r="AV50" i="2"/>
  <c r="AN51" i="2"/>
  <c r="AO51" i="2"/>
  <c r="AP51" i="2" s="1"/>
  <c r="AQ51" i="2"/>
  <c r="AR51" i="2"/>
  <c r="AS51" i="2"/>
  <c r="AT51" i="2"/>
  <c r="AV51" i="2"/>
  <c r="AN52" i="2"/>
  <c r="AO52" i="2"/>
  <c r="AP52" i="2" s="1"/>
  <c r="AQ52" i="2"/>
  <c r="AR52" i="2"/>
  <c r="AS52" i="2"/>
  <c r="AT52" i="2"/>
  <c r="AV52" i="2"/>
  <c r="AN53" i="2"/>
  <c r="AO53" i="2"/>
  <c r="AP53" i="2" s="1"/>
  <c r="AQ53" i="2"/>
  <c r="AR53" i="2"/>
  <c r="AS53" i="2"/>
  <c r="AT53" i="2"/>
  <c r="AV53" i="2"/>
  <c r="AN54" i="2"/>
  <c r="AO54" i="2"/>
  <c r="AP54" i="2" s="1"/>
  <c r="AQ54" i="2"/>
  <c r="AR54" i="2"/>
  <c r="AS54" i="2"/>
  <c r="AT54" i="2"/>
  <c r="AV54" i="2"/>
  <c r="AN55" i="2"/>
  <c r="AO55" i="2"/>
  <c r="AP55" i="2" s="1"/>
  <c r="AQ55" i="2"/>
  <c r="AR55" i="2"/>
  <c r="AS55" i="2"/>
  <c r="AT55" i="2"/>
  <c r="AV55" i="2"/>
  <c r="AN56" i="2"/>
  <c r="AO56" i="2"/>
  <c r="AP56" i="2" s="1"/>
  <c r="AQ56" i="2"/>
  <c r="AR56" i="2"/>
  <c r="AS56" i="2"/>
  <c r="AT56" i="2"/>
  <c r="AV56" i="2"/>
  <c r="AN57" i="2"/>
  <c r="AO57" i="2"/>
  <c r="AP57" i="2" s="1"/>
  <c r="AQ57" i="2"/>
  <c r="AR57" i="2"/>
  <c r="AS57" i="2"/>
  <c r="AT57" i="2"/>
  <c r="AV57" i="2"/>
  <c r="AN58" i="2"/>
  <c r="AO58" i="2"/>
  <c r="AP58" i="2" s="1"/>
  <c r="AQ58" i="2"/>
  <c r="AR58" i="2"/>
  <c r="AS58" i="2"/>
  <c r="AT58" i="2"/>
  <c r="AV58" i="2"/>
  <c r="AN59" i="2"/>
  <c r="AO59" i="2"/>
  <c r="AP59" i="2" s="1"/>
  <c r="AQ59" i="2"/>
  <c r="AR59" i="2"/>
  <c r="AS59" i="2"/>
  <c r="AT59" i="2"/>
  <c r="AV59" i="2"/>
  <c r="AN60" i="2"/>
  <c r="AO60" i="2"/>
  <c r="AP60" i="2" s="1"/>
  <c r="AQ60" i="2"/>
  <c r="AR60" i="2"/>
  <c r="AS60" i="2"/>
  <c r="AT60" i="2"/>
  <c r="AV60" i="2"/>
  <c r="AN61" i="2"/>
  <c r="AO61" i="2"/>
  <c r="AP61" i="2" s="1"/>
  <c r="AQ61" i="2"/>
  <c r="AR61" i="2"/>
  <c r="AS61" i="2"/>
  <c r="AT61" i="2"/>
  <c r="AV61" i="2"/>
  <c r="AN62" i="2"/>
  <c r="AO62" i="2"/>
  <c r="AP62" i="2" s="1"/>
  <c r="AQ62" i="2"/>
  <c r="AR62" i="2"/>
  <c r="AS62" i="2"/>
  <c r="AT62" i="2"/>
  <c r="AV62" i="2"/>
  <c r="AN63" i="2"/>
  <c r="AO63" i="2"/>
  <c r="AP63" i="2" s="1"/>
  <c r="AQ63" i="2"/>
  <c r="AR63" i="2"/>
  <c r="AS63" i="2"/>
  <c r="AT63" i="2"/>
  <c r="AV63" i="2"/>
  <c r="AN64" i="2"/>
  <c r="AO64" i="2"/>
  <c r="AP64" i="2" s="1"/>
  <c r="AQ64" i="2"/>
  <c r="AR64" i="2"/>
  <c r="AS64" i="2"/>
  <c r="AT64" i="2"/>
  <c r="AV64" i="2"/>
  <c r="AN65" i="2"/>
  <c r="AO65" i="2"/>
  <c r="AP65" i="2" s="1"/>
  <c r="AQ65" i="2"/>
  <c r="AR65" i="2"/>
  <c r="AS65" i="2"/>
  <c r="AT65" i="2"/>
  <c r="AV65" i="2"/>
  <c r="AN66" i="2"/>
  <c r="AO66" i="2"/>
  <c r="AP66" i="2" s="1"/>
  <c r="AQ66" i="2"/>
  <c r="AR66" i="2"/>
  <c r="AS66" i="2"/>
  <c r="AT66" i="2"/>
  <c r="AV66" i="2"/>
  <c r="AN67" i="2"/>
  <c r="AO67" i="2"/>
  <c r="AP67" i="2" s="1"/>
  <c r="AQ67" i="2"/>
  <c r="AR67" i="2"/>
  <c r="AS67" i="2"/>
  <c r="AT67" i="2"/>
  <c r="AV67" i="2"/>
  <c r="AN68" i="2"/>
  <c r="AO68" i="2"/>
  <c r="AP68" i="2" s="1"/>
  <c r="AQ68" i="2"/>
  <c r="AR68" i="2"/>
  <c r="AS68" i="2"/>
  <c r="AT68" i="2"/>
  <c r="AV68" i="2"/>
  <c r="AN69" i="2"/>
  <c r="AO69" i="2"/>
  <c r="AP69" i="2" s="1"/>
  <c r="AQ69" i="2"/>
  <c r="AR69" i="2"/>
  <c r="AS69" i="2"/>
  <c r="AT69" i="2"/>
  <c r="AV69" i="2"/>
  <c r="AN70" i="2"/>
  <c r="AO70" i="2"/>
  <c r="AP70" i="2" s="1"/>
  <c r="AQ70" i="2"/>
  <c r="AR70" i="2"/>
  <c r="AS70" i="2"/>
  <c r="AT70" i="2"/>
  <c r="AV70" i="2"/>
  <c r="AN71" i="2"/>
  <c r="AO71" i="2"/>
  <c r="AP71" i="2" s="1"/>
  <c r="AQ71" i="2"/>
  <c r="AR71" i="2"/>
  <c r="AS71" i="2"/>
  <c r="AT71" i="2"/>
  <c r="AV71" i="2"/>
  <c r="AN72" i="2"/>
  <c r="AO72" i="2"/>
  <c r="AP72" i="2" s="1"/>
  <c r="AQ72" i="2"/>
  <c r="AR72" i="2"/>
  <c r="AS72" i="2"/>
  <c r="AT72" i="2"/>
  <c r="AV72" i="2"/>
  <c r="AN73" i="2"/>
  <c r="AO73" i="2"/>
  <c r="AP73" i="2" s="1"/>
  <c r="AQ73" i="2"/>
  <c r="AR73" i="2"/>
  <c r="AS73" i="2"/>
  <c r="AT73" i="2"/>
  <c r="AV73" i="2"/>
  <c r="AN74" i="2"/>
  <c r="AO74" i="2"/>
  <c r="AP74" i="2" s="1"/>
  <c r="AQ74" i="2"/>
  <c r="AR74" i="2"/>
  <c r="AS74" i="2"/>
  <c r="AT74" i="2"/>
  <c r="AV74" i="2"/>
  <c r="AN75" i="2"/>
  <c r="AO75" i="2"/>
  <c r="AP75" i="2" s="1"/>
  <c r="AQ75" i="2"/>
  <c r="AR75" i="2"/>
  <c r="AS75" i="2"/>
  <c r="AT75" i="2"/>
  <c r="AV75" i="2"/>
  <c r="AN76" i="2"/>
  <c r="AO76" i="2"/>
  <c r="AP76" i="2" s="1"/>
  <c r="AQ76" i="2"/>
  <c r="AR76" i="2"/>
  <c r="AS76" i="2"/>
  <c r="AT76" i="2"/>
  <c r="AV76" i="2"/>
  <c r="AN77" i="2"/>
  <c r="AO77" i="2"/>
  <c r="AP77" i="2" s="1"/>
  <c r="AQ77" i="2"/>
  <c r="AR77" i="2"/>
  <c r="AS77" i="2"/>
  <c r="AT77" i="2"/>
  <c r="AV77" i="2"/>
  <c r="AN78" i="2"/>
  <c r="AO78" i="2"/>
  <c r="AP78" i="2" s="1"/>
  <c r="AQ78" i="2"/>
  <c r="AR78" i="2"/>
  <c r="AS78" i="2"/>
  <c r="AT78" i="2"/>
  <c r="AV78" i="2"/>
  <c r="AN79" i="2"/>
  <c r="AO79" i="2"/>
  <c r="AP79" i="2" s="1"/>
  <c r="AQ79" i="2"/>
  <c r="AR79" i="2"/>
  <c r="AS79" i="2"/>
  <c r="AT79" i="2"/>
  <c r="AV79" i="2"/>
  <c r="AN80" i="2"/>
  <c r="AO80" i="2"/>
  <c r="AP80" i="2" s="1"/>
  <c r="AQ80" i="2"/>
  <c r="AR80" i="2"/>
  <c r="AS80" i="2"/>
  <c r="AT80" i="2"/>
  <c r="AV80" i="2"/>
  <c r="AN81" i="2"/>
  <c r="AO81" i="2"/>
  <c r="AP81" i="2" s="1"/>
  <c r="AQ81" i="2"/>
  <c r="AR81" i="2"/>
  <c r="AS81" i="2"/>
  <c r="AT81" i="2"/>
  <c r="AV81" i="2"/>
  <c r="AN82" i="2"/>
  <c r="AO82" i="2"/>
  <c r="AP82" i="2" s="1"/>
  <c r="AQ82" i="2"/>
  <c r="AR82" i="2"/>
  <c r="AS82" i="2"/>
  <c r="AT82" i="2"/>
  <c r="AV82" i="2"/>
  <c r="AN83" i="2"/>
  <c r="AO83" i="2"/>
  <c r="AP83" i="2" s="1"/>
  <c r="AQ83" i="2"/>
  <c r="AR83" i="2"/>
  <c r="AS83" i="2"/>
  <c r="AT83" i="2"/>
  <c r="AV83" i="2"/>
  <c r="AN84" i="2"/>
  <c r="AO84" i="2"/>
  <c r="AP84" i="2" s="1"/>
  <c r="AQ84" i="2"/>
  <c r="AR84" i="2"/>
  <c r="AS84" i="2"/>
  <c r="AT84" i="2"/>
  <c r="AV84" i="2"/>
  <c r="AN85" i="2"/>
  <c r="AO85" i="2"/>
  <c r="AP85" i="2" s="1"/>
  <c r="AQ85" i="2"/>
  <c r="AR85" i="2"/>
  <c r="AS85" i="2"/>
  <c r="AT85" i="2"/>
  <c r="AV85" i="2"/>
  <c r="AN86" i="2"/>
  <c r="AO86" i="2"/>
  <c r="AP86" i="2" s="1"/>
  <c r="AQ86" i="2"/>
  <c r="AR86" i="2"/>
  <c r="AS86" i="2"/>
  <c r="AT86" i="2"/>
  <c r="AV86" i="2"/>
  <c r="AN87" i="2"/>
  <c r="AO87" i="2"/>
  <c r="AP87" i="2" s="1"/>
  <c r="AQ87" i="2"/>
  <c r="AR87" i="2"/>
  <c r="AS87" i="2"/>
  <c r="AT87" i="2"/>
  <c r="AV87" i="2"/>
  <c r="AN88" i="2"/>
  <c r="AO88" i="2"/>
  <c r="AP88" i="2" s="1"/>
  <c r="AQ88" i="2"/>
  <c r="AR88" i="2"/>
  <c r="AS88" i="2"/>
  <c r="AT88" i="2"/>
  <c r="AV88" i="2"/>
  <c r="AN89" i="2"/>
  <c r="AO89" i="2"/>
  <c r="AP89" i="2" s="1"/>
  <c r="AQ89" i="2"/>
  <c r="AR89" i="2"/>
  <c r="AS89" i="2"/>
  <c r="AT89" i="2"/>
  <c r="AV89" i="2"/>
  <c r="AN90" i="2"/>
  <c r="AO90" i="2"/>
  <c r="AP90" i="2" s="1"/>
  <c r="AQ90" i="2"/>
  <c r="AR90" i="2"/>
  <c r="AS90" i="2"/>
  <c r="AT90" i="2"/>
  <c r="AV90" i="2"/>
  <c r="AN91" i="2"/>
  <c r="AO91" i="2"/>
  <c r="AP91" i="2" s="1"/>
  <c r="AQ91" i="2"/>
  <c r="AR91" i="2"/>
  <c r="AS91" i="2"/>
  <c r="AT91" i="2"/>
  <c r="AV91" i="2"/>
  <c r="AN92" i="2"/>
  <c r="AO92" i="2"/>
  <c r="AP92" i="2" s="1"/>
  <c r="AQ92" i="2"/>
  <c r="AR92" i="2"/>
  <c r="AS92" i="2"/>
  <c r="AT92" i="2"/>
  <c r="AV92" i="2"/>
  <c r="AN93" i="2"/>
  <c r="AO93" i="2"/>
  <c r="AP93" i="2" s="1"/>
  <c r="AQ93" i="2"/>
  <c r="AR93" i="2"/>
  <c r="AS93" i="2"/>
  <c r="AT93" i="2"/>
  <c r="AV93" i="2"/>
  <c r="AN94" i="2"/>
  <c r="AO94" i="2"/>
  <c r="AP94" i="2" s="1"/>
  <c r="AQ94" i="2"/>
  <c r="AR94" i="2"/>
  <c r="AS94" i="2"/>
  <c r="AT94" i="2"/>
  <c r="AV94" i="2"/>
  <c r="AN95" i="2"/>
  <c r="AO95" i="2"/>
  <c r="AP95" i="2" s="1"/>
  <c r="AQ95" i="2"/>
  <c r="AR95" i="2"/>
  <c r="AS95" i="2"/>
  <c r="AT95" i="2"/>
  <c r="AV95" i="2"/>
  <c r="AN96" i="2"/>
  <c r="AO96" i="2"/>
  <c r="AP96" i="2" s="1"/>
  <c r="AQ96" i="2"/>
  <c r="AR96" i="2"/>
  <c r="AS96" i="2"/>
  <c r="AT96" i="2"/>
  <c r="AV96" i="2"/>
  <c r="AN97" i="2"/>
  <c r="AO97" i="2"/>
  <c r="AP97" i="2" s="1"/>
  <c r="AQ97" i="2"/>
  <c r="AR97" i="2"/>
  <c r="AS97" i="2"/>
  <c r="AT97" i="2"/>
  <c r="AV97" i="2"/>
  <c r="AN98" i="2"/>
  <c r="AO98" i="2"/>
  <c r="AP98" i="2" s="1"/>
  <c r="AQ98" i="2"/>
  <c r="AR98" i="2"/>
  <c r="AS98" i="2"/>
  <c r="AT98" i="2"/>
  <c r="AV98" i="2"/>
  <c r="AN99" i="2"/>
  <c r="AO99" i="2"/>
  <c r="AP99" i="2" s="1"/>
  <c r="AQ99" i="2"/>
  <c r="AR99" i="2"/>
  <c r="AS99" i="2"/>
  <c r="AT99" i="2"/>
  <c r="AV99" i="2"/>
  <c r="AN100" i="2"/>
  <c r="AO100" i="2"/>
  <c r="AP100" i="2" s="1"/>
  <c r="AQ100" i="2"/>
  <c r="AR100" i="2"/>
  <c r="AS100" i="2"/>
  <c r="AT100" i="2"/>
  <c r="AV100" i="2"/>
  <c r="AN101" i="2"/>
  <c r="AO101" i="2"/>
  <c r="AP101" i="2" s="1"/>
  <c r="AQ101" i="2"/>
  <c r="AR101" i="2"/>
  <c r="AS101" i="2"/>
  <c r="AT101" i="2"/>
  <c r="AV101" i="2"/>
  <c r="AN102" i="2"/>
  <c r="AO102" i="2"/>
  <c r="AP102" i="2" s="1"/>
  <c r="AQ102" i="2"/>
  <c r="AR102" i="2"/>
  <c r="AS102" i="2"/>
  <c r="AT102" i="2"/>
  <c r="AV102" i="2"/>
  <c r="AN103" i="2"/>
  <c r="AO103" i="2"/>
  <c r="AP103" i="2" s="1"/>
  <c r="AQ103" i="2"/>
  <c r="AR103" i="2"/>
  <c r="AS103" i="2"/>
  <c r="AT103" i="2"/>
  <c r="AV103" i="2"/>
  <c r="AN104" i="2"/>
  <c r="AO104" i="2"/>
  <c r="AP104" i="2" s="1"/>
  <c r="AQ104" i="2"/>
  <c r="AR104" i="2"/>
  <c r="AS104" i="2"/>
  <c r="AT104" i="2"/>
  <c r="AV104" i="2"/>
  <c r="AN105" i="2"/>
  <c r="AO105" i="2"/>
  <c r="AP105" i="2" s="1"/>
  <c r="AQ105" i="2"/>
  <c r="AR105" i="2"/>
  <c r="AS105" i="2"/>
  <c r="AT105" i="2"/>
  <c r="AV105" i="2"/>
  <c r="AN106" i="2"/>
  <c r="AO106" i="2"/>
  <c r="AP106" i="2" s="1"/>
  <c r="AQ106" i="2"/>
  <c r="AR106" i="2"/>
  <c r="AS106" i="2"/>
  <c r="AT106" i="2"/>
  <c r="AV106" i="2"/>
  <c r="AN107" i="2"/>
  <c r="AO107" i="2"/>
  <c r="AP107" i="2" s="1"/>
  <c r="AQ107" i="2"/>
  <c r="AR107" i="2"/>
  <c r="AS107" i="2"/>
  <c r="AT107" i="2"/>
  <c r="AV107" i="2"/>
  <c r="AN108" i="2"/>
  <c r="AO108" i="2"/>
  <c r="AP108" i="2" s="1"/>
  <c r="AQ108" i="2"/>
  <c r="AR108" i="2"/>
  <c r="AS108" i="2"/>
  <c r="AT108" i="2"/>
  <c r="AV108" i="2"/>
  <c r="AN109" i="2"/>
  <c r="AO109" i="2"/>
  <c r="AP109" i="2" s="1"/>
  <c r="AQ109" i="2"/>
  <c r="AR109" i="2"/>
  <c r="AS109" i="2"/>
  <c r="AT109" i="2"/>
  <c r="AV109" i="2"/>
  <c r="AN110" i="2"/>
  <c r="AO110" i="2"/>
  <c r="AP110" i="2" s="1"/>
  <c r="AQ110" i="2"/>
  <c r="AR110" i="2"/>
  <c r="AS110" i="2"/>
  <c r="AT110" i="2"/>
  <c r="AV110" i="2"/>
  <c r="AN111" i="2"/>
  <c r="AO111" i="2"/>
  <c r="AP111" i="2" s="1"/>
  <c r="AQ111" i="2"/>
  <c r="AR111" i="2"/>
  <c r="AS111" i="2"/>
  <c r="AT111" i="2"/>
  <c r="AV111" i="2"/>
  <c r="AN112" i="2"/>
  <c r="AO112" i="2"/>
  <c r="AP112" i="2" s="1"/>
  <c r="AQ112" i="2"/>
  <c r="AR112" i="2"/>
  <c r="AS112" i="2"/>
  <c r="AT112" i="2"/>
  <c r="AV112" i="2"/>
  <c r="AN113" i="2"/>
  <c r="AO113" i="2"/>
  <c r="AP113" i="2" s="1"/>
  <c r="AQ113" i="2"/>
  <c r="AR113" i="2"/>
  <c r="AS113" i="2"/>
  <c r="AT113" i="2"/>
  <c r="AV113" i="2"/>
  <c r="AN114" i="2"/>
  <c r="AO114" i="2"/>
  <c r="AP114" i="2" s="1"/>
  <c r="AQ114" i="2"/>
  <c r="AR114" i="2"/>
  <c r="AS114" i="2"/>
  <c r="AT114" i="2"/>
  <c r="AV114" i="2"/>
  <c r="AN115" i="2"/>
  <c r="AO115" i="2"/>
  <c r="AP115" i="2" s="1"/>
  <c r="AQ115" i="2"/>
  <c r="AR115" i="2"/>
  <c r="AS115" i="2"/>
  <c r="AT115" i="2"/>
  <c r="AV115" i="2"/>
  <c r="AN116" i="2"/>
  <c r="AO116" i="2"/>
  <c r="AP116" i="2" s="1"/>
  <c r="AQ116" i="2"/>
  <c r="AR116" i="2"/>
  <c r="AS116" i="2"/>
  <c r="AT116" i="2"/>
  <c r="AV116" i="2"/>
  <c r="AN117" i="2"/>
  <c r="AO117" i="2"/>
  <c r="AP117" i="2" s="1"/>
  <c r="AQ117" i="2"/>
  <c r="AR117" i="2"/>
  <c r="AS117" i="2"/>
  <c r="AT117" i="2"/>
  <c r="AV117" i="2"/>
  <c r="AN118" i="2"/>
  <c r="AO118" i="2"/>
  <c r="AP118" i="2" s="1"/>
  <c r="AQ118" i="2"/>
  <c r="AR118" i="2"/>
  <c r="AS118" i="2"/>
  <c r="AT118" i="2"/>
  <c r="AV118" i="2"/>
  <c r="AN119" i="2"/>
  <c r="AO119" i="2"/>
  <c r="AP119" i="2" s="1"/>
  <c r="AQ119" i="2"/>
  <c r="AR119" i="2"/>
  <c r="AS119" i="2"/>
  <c r="AT119" i="2"/>
  <c r="AV119" i="2"/>
  <c r="AN120" i="2"/>
  <c r="AO120" i="2"/>
  <c r="AP120" i="2" s="1"/>
  <c r="AQ120" i="2"/>
  <c r="AR120" i="2"/>
  <c r="AS120" i="2"/>
  <c r="AT120" i="2"/>
  <c r="AV120" i="2"/>
  <c r="AN121" i="2"/>
  <c r="AO121" i="2"/>
  <c r="AP121" i="2" s="1"/>
  <c r="AQ121" i="2"/>
  <c r="AR121" i="2"/>
  <c r="AS121" i="2"/>
  <c r="AT121" i="2"/>
  <c r="AV121" i="2"/>
  <c r="AN122" i="2"/>
  <c r="AO122" i="2"/>
  <c r="AP122" i="2" s="1"/>
  <c r="AQ122" i="2"/>
  <c r="AR122" i="2"/>
  <c r="AS122" i="2"/>
  <c r="AT122" i="2"/>
  <c r="AV122" i="2"/>
  <c r="AN123" i="2"/>
  <c r="AO123" i="2"/>
  <c r="AP123" i="2" s="1"/>
  <c r="AQ123" i="2"/>
  <c r="AR123" i="2"/>
  <c r="AS123" i="2"/>
  <c r="AT123" i="2"/>
  <c r="AV123" i="2"/>
  <c r="AN124" i="2"/>
  <c r="AO124" i="2"/>
  <c r="AP124" i="2" s="1"/>
  <c r="AQ124" i="2"/>
  <c r="AR124" i="2"/>
  <c r="AS124" i="2"/>
  <c r="AT124" i="2"/>
  <c r="AV124" i="2"/>
  <c r="AN125" i="2"/>
  <c r="AO125" i="2"/>
  <c r="AP125" i="2" s="1"/>
  <c r="AQ125" i="2"/>
  <c r="AR125" i="2"/>
  <c r="AS125" i="2"/>
  <c r="AT125" i="2"/>
  <c r="AV125" i="2"/>
  <c r="AN126" i="2"/>
  <c r="AO126" i="2"/>
  <c r="AP126" i="2" s="1"/>
  <c r="AQ126" i="2"/>
  <c r="AR126" i="2"/>
  <c r="AS126" i="2"/>
  <c r="AT126" i="2"/>
  <c r="AV126" i="2"/>
  <c r="AN127" i="2"/>
  <c r="AO127" i="2"/>
  <c r="AP127" i="2" s="1"/>
  <c r="AQ127" i="2"/>
  <c r="AR127" i="2"/>
  <c r="AS127" i="2"/>
  <c r="AT127" i="2"/>
  <c r="AV127" i="2"/>
  <c r="AN128" i="2"/>
  <c r="AO128" i="2"/>
  <c r="AP128" i="2" s="1"/>
  <c r="AQ128" i="2"/>
  <c r="AR128" i="2"/>
  <c r="AS128" i="2"/>
  <c r="AT128" i="2"/>
  <c r="AV128" i="2"/>
  <c r="AN129" i="2"/>
  <c r="AO129" i="2"/>
  <c r="AP129" i="2" s="1"/>
  <c r="AQ129" i="2"/>
  <c r="AR129" i="2"/>
  <c r="AS129" i="2"/>
  <c r="AT129" i="2"/>
  <c r="AV129" i="2"/>
  <c r="AN130" i="2"/>
  <c r="AO130" i="2"/>
  <c r="AP130" i="2" s="1"/>
  <c r="AQ130" i="2"/>
  <c r="AR130" i="2"/>
  <c r="AS130" i="2"/>
  <c r="AT130" i="2"/>
  <c r="AV130" i="2"/>
  <c r="AN131" i="2"/>
  <c r="AO131" i="2"/>
  <c r="AP131" i="2" s="1"/>
  <c r="AQ131" i="2"/>
  <c r="AR131" i="2"/>
  <c r="AS131" i="2"/>
  <c r="AT131" i="2"/>
  <c r="AV131" i="2"/>
  <c r="AN132" i="2"/>
  <c r="AO132" i="2"/>
  <c r="AP132" i="2" s="1"/>
  <c r="AQ132" i="2"/>
  <c r="AR132" i="2"/>
  <c r="AS132" i="2"/>
  <c r="AT132" i="2"/>
  <c r="AV132" i="2"/>
  <c r="AN133" i="2"/>
  <c r="AO133" i="2"/>
  <c r="AP133" i="2" s="1"/>
  <c r="AQ133" i="2"/>
  <c r="AR133" i="2"/>
  <c r="AS133" i="2"/>
  <c r="AT133" i="2"/>
  <c r="AV133" i="2"/>
  <c r="AN134" i="2"/>
  <c r="AO134" i="2"/>
  <c r="AP134" i="2" s="1"/>
  <c r="AQ134" i="2"/>
  <c r="AR134" i="2"/>
  <c r="AS134" i="2"/>
  <c r="AT134" i="2"/>
  <c r="AV134" i="2"/>
  <c r="AN135" i="2"/>
  <c r="AO135" i="2"/>
  <c r="AP135" i="2" s="1"/>
  <c r="AQ135" i="2"/>
  <c r="AR135" i="2"/>
  <c r="AS135" i="2"/>
  <c r="AT135" i="2"/>
  <c r="AV135" i="2"/>
  <c r="AN136" i="2"/>
  <c r="AO136" i="2"/>
  <c r="AP136" i="2" s="1"/>
  <c r="AQ136" i="2"/>
  <c r="AR136" i="2"/>
  <c r="AS136" i="2"/>
  <c r="AT136" i="2"/>
  <c r="AV136" i="2"/>
  <c r="AN137" i="2"/>
  <c r="AO137" i="2"/>
  <c r="AP137" i="2" s="1"/>
  <c r="AQ137" i="2"/>
  <c r="AR137" i="2"/>
  <c r="AS137" i="2"/>
  <c r="AT137" i="2"/>
  <c r="AV137" i="2"/>
  <c r="AN138" i="2"/>
  <c r="AO138" i="2"/>
  <c r="AP138" i="2" s="1"/>
  <c r="AQ138" i="2"/>
  <c r="AR138" i="2"/>
  <c r="AS138" i="2"/>
  <c r="AT138" i="2"/>
  <c r="AV138" i="2"/>
  <c r="AN139" i="2"/>
  <c r="AO139" i="2"/>
  <c r="AP139" i="2" s="1"/>
  <c r="AQ139" i="2"/>
  <c r="AR139" i="2"/>
  <c r="AS139" i="2"/>
  <c r="AT139" i="2"/>
  <c r="AV139" i="2"/>
  <c r="AN140" i="2"/>
  <c r="AO140" i="2"/>
  <c r="AP140" i="2" s="1"/>
  <c r="AQ140" i="2"/>
  <c r="AR140" i="2"/>
  <c r="AS140" i="2"/>
  <c r="AT140" i="2"/>
  <c r="AV140" i="2"/>
  <c r="AN141" i="2"/>
  <c r="AO141" i="2"/>
  <c r="AP141" i="2" s="1"/>
  <c r="AQ141" i="2"/>
  <c r="AR141" i="2"/>
  <c r="AS141" i="2"/>
  <c r="AT141" i="2"/>
  <c r="AV141" i="2"/>
  <c r="AN142" i="2"/>
  <c r="AO142" i="2"/>
  <c r="AP142" i="2" s="1"/>
  <c r="AQ142" i="2"/>
  <c r="AR142" i="2"/>
  <c r="AS142" i="2"/>
  <c r="AT142" i="2"/>
  <c r="AV142" i="2"/>
  <c r="AN143" i="2"/>
  <c r="AO143" i="2"/>
  <c r="AP143" i="2" s="1"/>
  <c r="AQ143" i="2"/>
  <c r="AR143" i="2"/>
  <c r="AS143" i="2"/>
  <c r="AT143" i="2"/>
  <c r="AV143" i="2"/>
  <c r="AN144" i="2"/>
  <c r="AO144" i="2"/>
  <c r="AP144" i="2" s="1"/>
  <c r="AQ144" i="2"/>
  <c r="AR144" i="2"/>
  <c r="AS144" i="2"/>
  <c r="AT144" i="2"/>
  <c r="AV144" i="2"/>
  <c r="AN145" i="2"/>
  <c r="AO145" i="2"/>
  <c r="AP145" i="2" s="1"/>
  <c r="AQ145" i="2"/>
  <c r="AR145" i="2"/>
  <c r="AS145" i="2"/>
  <c r="AT145" i="2"/>
  <c r="AV145" i="2"/>
  <c r="AN146" i="2"/>
  <c r="AO146" i="2"/>
  <c r="AP146" i="2" s="1"/>
  <c r="AQ146" i="2"/>
  <c r="AR146" i="2"/>
  <c r="AS146" i="2"/>
  <c r="AT146" i="2"/>
  <c r="AV146" i="2"/>
  <c r="AN147" i="2"/>
  <c r="AO147" i="2"/>
  <c r="AP147" i="2" s="1"/>
  <c r="AQ147" i="2"/>
  <c r="AR147" i="2"/>
  <c r="AS147" i="2"/>
  <c r="AT147" i="2"/>
  <c r="AV147" i="2"/>
  <c r="AN148" i="2"/>
  <c r="AO148" i="2"/>
  <c r="AP148" i="2" s="1"/>
  <c r="AQ148" i="2"/>
  <c r="AR148" i="2"/>
  <c r="AS148" i="2"/>
  <c r="AT148" i="2"/>
  <c r="AV148" i="2"/>
  <c r="AN149" i="2"/>
  <c r="AO149" i="2"/>
  <c r="AP149" i="2" s="1"/>
  <c r="AQ149" i="2"/>
  <c r="AR149" i="2"/>
  <c r="AS149" i="2"/>
  <c r="AT149" i="2"/>
  <c r="AV149" i="2"/>
  <c r="AN150" i="2"/>
  <c r="AO150" i="2"/>
  <c r="AP150" i="2" s="1"/>
  <c r="AQ150" i="2"/>
  <c r="AR150" i="2"/>
  <c r="AS150" i="2"/>
  <c r="AT150" i="2"/>
  <c r="AV150" i="2"/>
  <c r="AN151" i="2"/>
  <c r="AO151" i="2"/>
  <c r="AP151" i="2" s="1"/>
  <c r="AQ151" i="2"/>
  <c r="AR151" i="2"/>
  <c r="AS151" i="2"/>
  <c r="AT151" i="2"/>
  <c r="AV151" i="2"/>
  <c r="AN152" i="2"/>
  <c r="AO152" i="2"/>
  <c r="AP152" i="2" s="1"/>
  <c r="AQ152" i="2"/>
  <c r="AR152" i="2"/>
  <c r="AS152" i="2"/>
  <c r="AT152" i="2"/>
  <c r="AV152" i="2"/>
  <c r="AN153" i="2"/>
  <c r="AO153" i="2"/>
  <c r="AP153" i="2" s="1"/>
  <c r="AQ153" i="2"/>
  <c r="AR153" i="2"/>
  <c r="AS153" i="2"/>
  <c r="AT153" i="2"/>
  <c r="AV153" i="2"/>
  <c r="AN154" i="2"/>
  <c r="AO154" i="2"/>
  <c r="AP154" i="2" s="1"/>
  <c r="AQ154" i="2"/>
  <c r="AR154" i="2"/>
  <c r="AS154" i="2"/>
  <c r="AT154" i="2"/>
  <c r="AV154" i="2"/>
  <c r="AN155" i="2"/>
  <c r="AO155" i="2"/>
  <c r="AP155" i="2" s="1"/>
  <c r="AQ155" i="2"/>
  <c r="AR155" i="2"/>
  <c r="AS155" i="2"/>
  <c r="AT155" i="2"/>
  <c r="AV155" i="2"/>
  <c r="AN156" i="2"/>
  <c r="AO156" i="2"/>
  <c r="AP156" i="2" s="1"/>
  <c r="AQ156" i="2"/>
  <c r="AR156" i="2"/>
  <c r="AS156" i="2"/>
  <c r="AT156" i="2"/>
  <c r="AV156" i="2"/>
  <c r="AN157" i="2"/>
  <c r="AO157" i="2"/>
  <c r="AP157" i="2" s="1"/>
  <c r="AQ157" i="2"/>
  <c r="AR157" i="2"/>
  <c r="AS157" i="2"/>
  <c r="AT157" i="2"/>
  <c r="AV157" i="2"/>
  <c r="AN158" i="2"/>
  <c r="AO158" i="2"/>
  <c r="AP158" i="2" s="1"/>
  <c r="AQ158" i="2"/>
  <c r="AR158" i="2"/>
  <c r="AS158" i="2"/>
  <c r="AT158" i="2"/>
  <c r="AV158" i="2"/>
  <c r="AN159" i="2"/>
  <c r="AO159" i="2"/>
  <c r="AP159" i="2" s="1"/>
  <c r="AQ159" i="2"/>
  <c r="AR159" i="2"/>
  <c r="AS159" i="2"/>
  <c r="AT159" i="2"/>
  <c r="AV159" i="2"/>
  <c r="AN160" i="2"/>
  <c r="AO160" i="2"/>
  <c r="AP160" i="2" s="1"/>
  <c r="AQ160" i="2"/>
  <c r="AR160" i="2"/>
  <c r="AS160" i="2"/>
  <c r="AT160" i="2"/>
  <c r="AV160" i="2"/>
  <c r="AN161" i="2"/>
  <c r="AO161" i="2"/>
  <c r="AP161" i="2" s="1"/>
  <c r="AQ161" i="2"/>
  <c r="AR161" i="2"/>
  <c r="AS161" i="2"/>
  <c r="AT161" i="2"/>
  <c r="AV161" i="2"/>
  <c r="AN162" i="2"/>
  <c r="AO162" i="2"/>
  <c r="AP162" i="2" s="1"/>
  <c r="AQ162" i="2"/>
  <c r="AR162" i="2"/>
  <c r="AS162" i="2"/>
  <c r="AT162" i="2"/>
  <c r="AV162" i="2"/>
  <c r="AN163" i="2"/>
  <c r="AO163" i="2"/>
  <c r="AP163" i="2" s="1"/>
  <c r="AQ163" i="2"/>
  <c r="AR163" i="2"/>
  <c r="AS163" i="2"/>
  <c r="AT163" i="2"/>
  <c r="AV163" i="2"/>
  <c r="AN164" i="2"/>
  <c r="AO164" i="2"/>
  <c r="AP164" i="2" s="1"/>
  <c r="AQ164" i="2"/>
  <c r="AR164" i="2"/>
  <c r="AS164" i="2"/>
  <c r="AT164" i="2"/>
  <c r="AV164" i="2"/>
  <c r="AN165" i="2"/>
  <c r="AO165" i="2"/>
  <c r="AP165" i="2" s="1"/>
  <c r="AQ165" i="2"/>
  <c r="AR165" i="2"/>
  <c r="AS165" i="2"/>
  <c r="AT165" i="2"/>
  <c r="AV165" i="2"/>
  <c r="AN166" i="2"/>
  <c r="AO166" i="2"/>
  <c r="AP166" i="2" s="1"/>
  <c r="AQ166" i="2"/>
  <c r="AR166" i="2"/>
  <c r="AS166" i="2"/>
  <c r="AT166" i="2"/>
  <c r="AV166" i="2"/>
  <c r="AN167" i="2"/>
  <c r="AO167" i="2"/>
  <c r="AP167" i="2" s="1"/>
  <c r="AQ167" i="2"/>
  <c r="AR167" i="2"/>
  <c r="AS167" i="2"/>
  <c r="AT167" i="2"/>
  <c r="AV167" i="2"/>
  <c r="AN168" i="2"/>
  <c r="AO168" i="2"/>
  <c r="AP168" i="2" s="1"/>
  <c r="AQ168" i="2"/>
  <c r="AR168" i="2"/>
  <c r="AS168" i="2"/>
  <c r="AT168" i="2"/>
  <c r="AV168" i="2"/>
  <c r="AN169" i="2"/>
  <c r="AO169" i="2"/>
  <c r="AP169" i="2" s="1"/>
  <c r="AQ169" i="2"/>
  <c r="AR169" i="2"/>
  <c r="AS169" i="2"/>
  <c r="AT169" i="2"/>
  <c r="AV169" i="2"/>
  <c r="AN170" i="2"/>
  <c r="AO170" i="2"/>
  <c r="AP170" i="2" s="1"/>
  <c r="AQ170" i="2"/>
  <c r="AR170" i="2"/>
  <c r="AS170" i="2"/>
  <c r="AT170" i="2"/>
  <c r="AV170" i="2"/>
  <c r="AN171" i="2"/>
  <c r="AO171" i="2"/>
  <c r="AP171" i="2" s="1"/>
  <c r="AQ171" i="2"/>
  <c r="AR171" i="2"/>
  <c r="AS171" i="2"/>
  <c r="AT171" i="2"/>
  <c r="AV171" i="2"/>
  <c r="AN172" i="2"/>
  <c r="AO172" i="2"/>
  <c r="AP172" i="2" s="1"/>
  <c r="AQ172" i="2"/>
  <c r="AR172" i="2"/>
  <c r="AS172" i="2"/>
  <c r="AT172" i="2"/>
  <c r="AV172" i="2"/>
  <c r="AN173" i="2"/>
  <c r="AO173" i="2"/>
  <c r="AP173" i="2" s="1"/>
  <c r="AQ173" i="2"/>
  <c r="AR173" i="2"/>
  <c r="AS173" i="2"/>
  <c r="AT173" i="2"/>
  <c r="AV173" i="2"/>
  <c r="AN174" i="2"/>
  <c r="AO174" i="2"/>
  <c r="AP174" i="2" s="1"/>
  <c r="AQ174" i="2"/>
  <c r="AR174" i="2"/>
  <c r="AS174" i="2"/>
  <c r="AT174" i="2"/>
  <c r="AV174" i="2"/>
  <c r="AN175" i="2"/>
  <c r="AO175" i="2"/>
  <c r="AP175" i="2" s="1"/>
  <c r="AQ175" i="2"/>
  <c r="AR175" i="2"/>
  <c r="AS175" i="2"/>
  <c r="AT175" i="2"/>
  <c r="AV175" i="2"/>
  <c r="AN176" i="2"/>
  <c r="AO176" i="2"/>
  <c r="AP176" i="2" s="1"/>
  <c r="AQ176" i="2"/>
  <c r="AR176" i="2"/>
  <c r="AS176" i="2"/>
  <c r="AT176" i="2"/>
  <c r="AV176" i="2"/>
  <c r="AN177" i="2"/>
  <c r="AO177" i="2"/>
  <c r="AP177" i="2" s="1"/>
  <c r="AQ177" i="2"/>
  <c r="AR177" i="2"/>
  <c r="AS177" i="2"/>
  <c r="AT177" i="2"/>
  <c r="AV177" i="2"/>
  <c r="AN178" i="2"/>
  <c r="AO178" i="2"/>
  <c r="AP178" i="2" s="1"/>
  <c r="AQ178" i="2"/>
  <c r="AR178" i="2"/>
  <c r="AS178" i="2"/>
  <c r="AT178" i="2"/>
  <c r="AV178" i="2"/>
  <c r="AN179" i="2"/>
  <c r="AO179" i="2"/>
  <c r="AP179" i="2" s="1"/>
  <c r="AQ179" i="2"/>
  <c r="AR179" i="2"/>
  <c r="AS179" i="2"/>
  <c r="AT179" i="2"/>
  <c r="AV179" i="2"/>
  <c r="AN180" i="2"/>
  <c r="AO180" i="2"/>
  <c r="AP180" i="2" s="1"/>
  <c r="AQ180" i="2"/>
  <c r="AR180" i="2"/>
  <c r="AS180" i="2"/>
  <c r="AT180" i="2"/>
  <c r="AV180" i="2"/>
  <c r="AN181" i="2"/>
  <c r="AO181" i="2"/>
  <c r="AP181" i="2" s="1"/>
  <c r="AQ181" i="2"/>
  <c r="AR181" i="2"/>
  <c r="AS181" i="2"/>
  <c r="AT181" i="2"/>
  <c r="AV181" i="2"/>
  <c r="AN182" i="2"/>
  <c r="AO182" i="2"/>
  <c r="AP182" i="2" s="1"/>
  <c r="AQ182" i="2"/>
  <c r="AR182" i="2"/>
  <c r="AS182" i="2"/>
  <c r="AT182" i="2"/>
  <c r="AV182" i="2"/>
  <c r="AN183" i="2"/>
  <c r="AO183" i="2"/>
  <c r="AP183" i="2" s="1"/>
  <c r="AQ183" i="2"/>
  <c r="AR183" i="2"/>
  <c r="AS183" i="2"/>
  <c r="AT183" i="2"/>
  <c r="AV183" i="2"/>
  <c r="AN184" i="2"/>
  <c r="AO184" i="2"/>
  <c r="AP184" i="2" s="1"/>
  <c r="AQ184" i="2"/>
  <c r="AR184" i="2"/>
  <c r="AS184" i="2"/>
  <c r="AT184" i="2"/>
  <c r="AV184" i="2"/>
  <c r="AN185" i="2"/>
  <c r="AO185" i="2"/>
  <c r="AP185" i="2" s="1"/>
  <c r="AQ185" i="2"/>
  <c r="AR185" i="2"/>
  <c r="AS185" i="2"/>
  <c r="AT185" i="2"/>
  <c r="AV185" i="2"/>
  <c r="AN186" i="2"/>
  <c r="AO186" i="2"/>
  <c r="AP186" i="2" s="1"/>
  <c r="AQ186" i="2"/>
  <c r="AR186" i="2"/>
  <c r="AS186" i="2"/>
  <c r="AT186" i="2"/>
  <c r="AV186" i="2"/>
  <c r="AN187" i="2"/>
  <c r="AO187" i="2"/>
  <c r="AP187" i="2" s="1"/>
  <c r="AQ187" i="2"/>
  <c r="AR187" i="2"/>
  <c r="AS187" i="2"/>
  <c r="AT187" i="2"/>
  <c r="AV187" i="2"/>
  <c r="AN188" i="2"/>
  <c r="AO188" i="2"/>
  <c r="AP188" i="2" s="1"/>
  <c r="AQ188" i="2"/>
  <c r="AR188" i="2"/>
  <c r="AS188" i="2"/>
  <c r="AT188" i="2"/>
  <c r="AV188" i="2"/>
  <c r="AN189" i="2"/>
  <c r="AO189" i="2"/>
  <c r="AP189" i="2" s="1"/>
  <c r="AQ189" i="2"/>
  <c r="AR189" i="2"/>
  <c r="AS189" i="2"/>
  <c r="AT189" i="2"/>
  <c r="AV189" i="2"/>
  <c r="AN190" i="2"/>
  <c r="AO190" i="2"/>
  <c r="AP190" i="2" s="1"/>
  <c r="AQ190" i="2"/>
  <c r="AR190" i="2"/>
  <c r="AS190" i="2"/>
  <c r="AT190" i="2"/>
  <c r="AV190" i="2"/>
  <c r="AN191" i="2"/>
  <c r="AO191" i="2"/>
  <c r="AP191" i="2" s="1"/>
  <c r="AQ191" i="2"/>
  <c r="AR191" i="2"/>
  <c r="AS191" i="2"/>
  <c r="AT191" i="2"/>
  <c r="AV191" i="2"/>
  <c r="AN192" i="2"/>
  <c r="AO192" i="2"/>
  <c r="AP192" i="2" s="1"/>
  <c r="AQ192" i="2"/>
  <c r="AR192" i="2"/>
  <c r="AS192" i="2"/>
  <c r="AT192" i="2"/>
  <c r="AV192" i="2"/>
  <c r="AN193" i="2"/>
  <c r="AO193" i="2"/>
  <c r="AP193" i="2" s="1"/>
  <c r="AQ193" i="2"/>
  <c r="AR193" i="2"/>
  <c r="AS193" i="2"/>
  <c r="AT193" i="2"/>
  <c r="AV193" i="2"/>
  <c r="AN194" i="2"/>
  <c r="AO194" i="2"/>
  <c r="AP194" i="2" s="1"/>
  <c r="AQ194" i="2"/>
  <c r="AR194" i="2"/>
  <c r="AS194" i="2"/>
  <c r="AT194" i="2"/>
  <c r="AV194" i="2"/>
  <c r="AN195" i="2"/>
  <c r="AO195" i="2"/>
  <c r="AP195" i="2" s="1"/>
  <c r="AQ195" i="2"/>
  <c r="AR195" i="2"/>
  <c r="AS195" i="2"/>
  <c r="AT195" i="2"/>
  <c r="AV195" i="2"/>
  <c r="I78" i="4"/>
  <c r="E148" i="4"/>
  <c r="H9" i="4"/>
  <c r="F38" i="4"/>
  <c r="F37" i="4"/>
  <c r="E38" i="4"/>
  <c r="K5" i="4"/>
  <c r="E138" i="4" s="1"/>
  <c r="F138" i="4" s="1"/>
  <c r="J4" i="4"/>
  <c r="E137" i="4" s="1"/>
  <c r="F137" i="4" s="1"/>
  <c r="H4" i="4"/>
  <c r="K8" i="4"/>
  <c r="J111" i="4"/>
  <c r="K110" i="4"/>
  <c r="K109" i="4"/>
  <c r="K108" i="4"/>
  <c r="K107" i="4"/>
  <c r="I111" i="4"/>
  <c r="E149" i="4"/>
  <c r="E122" i="4"/>
  <c r="K7" i="4"/>
  <c r="E123" i="4"/>
  <c r="E121" i="4"/>
  <c r="E135" i="4" l="1"/>
  <c r="F135" i="4" s="1"/>
  <c r="E124" i="4"/>
  <c r="K111" i="4"/>
  <c r="I4" i="4"/>
  <c r="E136" i="4" s="1"/>
  <c r="F136" i="4" s="1"/>
  <c r="H5" i="4" l="1"/>
  <c r="I5" i="4"/>
  <c r="J5" i="4"/>
  <c r="I10" i="4"/>
  <c r="J10" i="4"/>
  <c r="H10" i="4"/>
</calcChain>
</file>

<file path=xl/sharedStrings.xml><?xml version="1.0" encoding="utf-8"?>
<sst xmlns="http://schemas.openxmlformats.org/spreadsheetml/2006/main" count="8314" uniqueCount="1087">
  <si>
    <t>ID</t>
  </si>
  <si>
    <t>Origem</t>
  </si>
  <si>
    <t>Tipologia</t>
  </si>
  <si>
    <t>Area</t>
  </si>
  <si>
    <t>Data_Manifestacao</t>
  </si>
  <si>
    <t>Agente</t>
  </si>
  <si>
    <t>Status_Solicitação</t>
  </si>
  <si>
    <t>Status_Acao</t>
  </si>
  <si>
    <t>Cliente</t>
  </si>
  <si>
    <t>UC</t>
  </si>
  <si>
    <t>Obra_Const_Man</t>
  </si>
  <si>
    <t>Regional</t>
  </si>
  <si>
    <t>Localidade</t>
  </si>
  <si>
    <t>Poder</t>
  </si>
  <si>
    <t>Prefeitura</t>
  </si>
  <si>
    <t>Manifestação</t>
  </si>
  <si>
    <t>Data_Envio_Area</t>
  </si>
  <si>
    <t>Descricao_da_acao</t>
  </si>
  <si>
    <t>Data_Resp_Area</t>
  </si>
  <si>
    <t>Resposta_Area</t>
  </si>
  <si>
    <t>Expectativa_Cliente</t>
  </si>
  <si>
    <t>Data_Prev_Acao</t>
  </si>
  <si>
    <t>Data_Conclusao</t>
  </si>
  <si>
    <t>Resp_Tratativa</t>
  </si>
  <si>
    <t>Registrado_por</t>
  </si>
  <si>
    <t>Participantes_Municipio</t>
  </si>
  <si>
    <t>Participantes_Energisa_txt</t>
  </si>
  <si>
    <t>Critico</t>
  </si>
  <si>
    <t>Acao</t>
  </si>
  <si>
    <t>Modificado</t>
  </si>
  <si>
    <t>Modificado por.title</t>
  </si>
  <si>
    <t>Criado</t>
  </si>
  <si>
    <t>Criado por.title</t>
  </si>
  <si>
    <t>Solicitações GA</t>
  </si>
  <si>
    <t>Qualidade</t>
  </si>
  <si>
    <t>DCMD</t>
  </si>
  <si>
    <t>Julio Cesar dos Santos Antonelo</t>
  </si>
  <si>
    <t>Em Andamento</t>
  </si>
  <si>
    <t>Devolvido</t>
  </si>
  <si>
    <t>SUL</t>
  </si>
  <si>
    <t>Agente de Relacionamento</t>
  </si>
  <si>
    <t>Volmar Junior Silva Vida</t>
  </si>
  <si>
    <t>Sim</t>
  </si>
  <si>
    <t>Obra</t>
  </si>
  <si>
    <t>Dian Cleiton de Brito</t>
  </si>
  <si>
    <t>Dourados</t>
  </si>
  <si>
    <t>Mariana Kenu Shimizu Nakada</t>
  </si>
  <si>
    <t>Mariana Nakada</t>
  </si>
  <si>
    <t>Projeto Elétrico</t>
  </si>
  <si>
    <t>Marcelly Arce Avalo Franca</t>
  </si>
  <si>
    <t>Anastácio</t>
  </si>
  <si>
    <t>Visita Institucional</t>
  </si>
  <si>
    <t>Batayporã</t>
  </si>
  <si>
    <t>Visita Domo de Ferro</t>
  </si>
  <si>
    <t>Atendimento Comercial</t>
  </si>
  <si>
    <t>DESC</t>
  </si>
  <si>
    <t>Availdo Taveira de Oliveira</t>
  </si>
  <si>
    <t>NORTE</t>
  </si>
  <si>
    <t>Dois Irmãos do Buriti</t>
  </si>
  <si>
    <t>Visita realizada pelo Projeto Integrar - Registro ID 50
1- Validar e responder ao prefeito como e em qual rede será conectada as GDs do Polo industrial.
2- Industria no Polo Industrial que querem migrar da Coeso para EMS - Frigorifico, Peixe, mandioca e Laranja;</t>
  </si>
  <si>
    <t>FAVOR ANALISAR AS DEMANDAS DO PROJETO INTEGRAR E NOS DAR RESPALDOS E ATUALIZAÇÕES E ENCAMINHAR SE NECESSARIO COM AÇÕES PARA OS DEPARTAMENTOS RESPONSAVEIS.</t>
  </si>
  <si>
    <t>Segue resumo em foto anexo. As demandas estão registradas no APP.</t>
  </si>
  <si>
    <t>Anderson Smaniotto</t>
  </si>
  <si>
    <t>Anderson Brum Smaniotto</t>
  </si>
  <si>
    <t>CENTRO</t>
  </si>
  <si>
    <t>Campo Grande</t>
  </si>
  <si>
    <t>Bruna Victoria Rodrigues Ricardes</t>
  </si>
  <si>
    <t>Giovani Moura Sousa</t>
  </si>
  <si>
    <t>Câmara</t>
  </si>
  <si>
    <t>Felipe Souza do Nascimento</t>
  </si>
  <si>
    <t>Wander Machado</t>
  </si>
  <si>
    <t>Wander Idalino Machado</t>
  </si>
  <si>
    <t>Amanda Aparecida Teixeira dos Santos</t>
  </si>
  <si>
    <t>Marcelly Franca</t>
  </si>
  <si>
    <t>Poda</t>
  </si>
  <si>
    <t>Jessika da Silva Arruda de Paula</t>
  </si>
  <si>
    <t>Angélica</t>
  </si>
  <si>
    <t>Evair Rogerio da Conceicao</t>
  </si>
  <si>
    <t>DEOP</t>
  </si>
  <si>
    <t>Deodápolis</t>
  </si>
  <si>
    <t>Assembleia Legislativa</t>
  </si>
  <si>
    <t>Gerson Mendes Ortiz</t>
  </si>
  <si>
    <t>Rafaela Almeida</t>
  </si>
  <si>
    <t>Rafaela Mattos de Almeida</t>
  </si>
  <si>
    <t>Mundo Novo</t>
  </si>
  <si>
    <t>Sidrolândia</t>
  </si>
  <si>
    <t>Bruno Camargo de Souza</t>
  </si>
  <si>
    <t>Ordem de Serviço</t>
  </si>
  <si>
    <t>Monike Chaves</t>
  </si>
  <si>
    <t>Tacuru</t>
  </si>
  <si>
    <t>OS 877 - ORÇAMENTO
OS 548014238 - KATILENE
OS 548017784 - VILINA
OS 548023636 - MARILENE
SOLICITAÇÃO APOS REUNIÃO</t>
  </si>
  <si>
    <t>OS 877 - ORÇAMENTO
OS 548014238 - KATILENE
OS 548017784 - VILINA
OS 548023636 - MARILENE
SOLICITAÇÃO APOS REUNIÃO.
Por favor agilizar atendimento das ordens de serviço supracitadas.</t>
  </si>
  <si>
    <t>Rui Pires AGEHAB</t>
  </si>
  <si>
    <t>Moacir Costa Neto</t>
  </si>
  <si>
    <t>Amanda Santos</t>
  </si>
  <si>
    <t>Iguatemi</t>
  </si>
  <si>
    <t>Manutenção</t>
  </si>
  <si>
    <t>Inocência</t>
  </si>
  <si>
    <t>DEMT</t>
  </si>
  <si>
    <t>Rua Araxá 
OS 549831406
Rua Delci leite Doffinger
OS 549837530
Gentielza analisar a liberação desse orçamento antes do prazo de 30 dias, foi um erro interno que não gerou todas as ligações do ofício.</t>
  </si>
  <si>
    <t>* Rua Araxá - OS 549831406
*Rua Delci leite Doffinger - OS 549837530
Gentileza analisar a liberação desses orçamentos antes do prazo de 30 dias, foi um erro interno que não gerou todas as ligações do ofício.</t>
  </si>
  <si>
    <t>Neilton  - Engenheiro responsavel</t>
  </si>
  <si>
    <t>Diretoria</t>
  </si>
  <si>
    <t>Vazio</t>
  </si>
  <si>
    <t>Fátima do Sul</t>
  </si>
  <si>
    <t>Mídia</t>
  </si>
  <si>
    <t>Diego Souza Silva</t>
  </si>
  <si>
    <t>Ribas do Rio Pardo</t>
  </si>
  <si>
    <t>Luan Henrique Soares Diniz Afonso</t>
  </si>
  <si>
    <t>Nova Alvorada do Sul</t>
  </si>
  <si>
    <t>Aparecida do Taboado</t>
  </si>
  <si>
    <t>Finalizada</t>
  </si>
  <si>
    <t>Danila Souza</t>
  </si>
  <si>
    <t>Danila Hertal Moreira Souza</t>
  </si>
  <si>
    <t>Aline da Silva Mesquita</t>
  </si>
  <si>
    <t>Corguinho</t>
  </si>
  <si>
    <t>Governo do Estado</t>
  </si>
  <si>
    <t>Gerson Ortiz</t>
  </si>
  <si>
    <t>Central do Cliente</t>
  </si>
  <si>
    <t>Terenos</t>
  </si>
  <si>
    <t>Bataguassu</t>
  </si>
  <si>
    <t>Prefeito de Tacuru informou que o posto de saúde será construído com recursos federal e tem prazos. Agradeço analise a OS 545194335.</t>
  </si>
  <si>
    <t>Prefeito Rogerio.</t>
  </si>
  <si>
    <t>Jonas Ortiz Rudis</t>
  </si>
  <si>
    <t>Paranaíba</t>
  </si>
  <si>
    <t>Ponta Porã</t>
  </si>
  <si>
    <t>A solicitação refere-se a um poste localizado dentro do terreno da cliente, o que tem gerado diversos transtornos, pois ela precisa realizar manobras e desvios sempre que entra ou sai com seu veículo.
Além disso, a cliente compareceu à agência bastante insatisfeita, relatando que um vizinho, cuja solicitação de obra foi registrada posteriormente, já está sendo atendido por uma intervenção na mesma rede, o que tem aumentado sua percepção de demora no atendimento do próprio pedido.
Obra: 0402500933</t>
  </si>
  <si>
    <t>obra concluída 31/07</t>
  </si>
  <si>
    <t>Cliente esteve na prefeitura e na agencia de atendimento informando que irá acionar a TV, pois o prazo de relocação do poste de dentro do seu terreno está vencido, e diarimente ela tem que deixar seu carro fora de casa.</t>
  </si>
  <si>
    <t>Jardim</t>
  </si>
  <si>
    <t>Visita Domo de Ferro. 
Por favor agilizar atendimento da Obra 0152600219.
Expectativa do Cliente 31/07/2026.
Solicitado apoio pelo vice-prefeito do município.
Sem anexos.
Availdo já alinhou o atendimento com o Supervisor Paulo Vitor e Coordenador Eduardo Batalha.</t>
  </si>
  <si>
    <t>OBRA CONCLUIDA 17/07</t>
  </si>
  <si>
    <t>Agente de Relacionamento Availdo</t>
  </si>
  <si>
    <t>Informação</t>
  </si>
  <si>
    <t>Guilherme Antonio Schio Parana</t>
  </si>
  <si>
    <t>Solicitado a troca do transformador de 25 kv para um de 45 kv.
Transformador localizado às proximidades das UC's abaixo:
10/912450-4
10/904447-0
1.223.596.051-09</t>
  </si>
  <si>
    <t>Vereador Rogério</t>
  </si>
  <si>
    <t>Solicitado manutenção do veto à emenda do Vereador Roilço sobre fios de internet.
Informação.</t>
  </si>
  <si>
    <t>Informação. Solicitado manutenção do veto à emenda do Vereador Roilço sobre fios de internet.</t>
  </si>
  <si>
    <t>Vereador Rrafael Tavares</t>
  </si>
  <si>
    <t>Solicitado a manutenção do veto à emenda do Vereador Ronilço quanto aos fios de internet.
Informação.</t>
  </si>
  <si>
    <t>Informação. Solicitado a manutenção do veto à emenda do Vereador Ronilço quanto aos fios de internet.</t>
  </si>
  <si>
    <t>Solicitado a manutenção do veto à emenda do Vereador Ronilço quanto aos fios de internet.</t>
  </si>
  <si>
    <t>Vereador André salineiro</t>
  </si>
  <si>
    <t>Slicitado a manutenção do veto contra a emenda do Vereador Ronilço quanto aos fios de internet.
Informação.</t>
  </si>
  <si>
    <t>Informação. Solicitado a manutenção do veto contra a emenda do Vereador Ronilço quanto aos fios de internet.</t>
  </si>
  <si>
    <t>Vreador Juari</t>
  </si>
  <si>
    <t>Solicitada a manutenção do veto contra emenda do Vereador Ronilço quanto aos fios de internet.
Informação.</t>
  </si>
  <si>
    <t>Informação. Solicitada a manutenção do veto contra emenda do Vereador Ronilço quanto aos fios de internet.</t>
  </si>
  <si>
    <t>Vereador Otávio Trad</t>
  </si>
  <si>
    <t>Solicitado manutenção do vento contra a emenda do Vereador Ronilço quanto aos fios de internet.
Informação.</t>
  </si>
  <si>
    <t>Informação. Solicitado manutenção do vento contra a emenda do Vereador Ronilço quanto aos fios de internet</t>
  </si>
  <si>
    <t>Vereador Wilson Lands</t>
  </si>
  <si>
    <t>Solicitada a manutenção do vet contra emenda do Vereador Ronilço quanto aos fios de internet.
Informação.</t>
  </si>
  <si>
    <t>Vereador Papy</t>
  </si>
  <si>
    <t>Gabriella Amorim Domingo</t>
  </si>
  <si>
    <t>Não Iniciada</t>
  </si>
  <si>
    <t>Solicita agilizar obra de ponto de entrega e loteamento - obra 0302500469
Expectativa - 10/06/26. PE 7175625.
Nova expectativa do cliente 31/07/2026.</t>
  </si>
  <si>
    <t>Paulo Roberto dos Santos</t>
  </si>
  <si>
    <t>Dian, gentileza reavaliar a expectativa do cliente.
Solicita agilizar obra de ponto de entrega e loteamento - obra 0302500469
Expectativa - 10/06/26. PE 7175625</t>
  </si>
  <si>
    <t>Amambai</t>
  </si>
  <si>
    <t>Aquidauana</t>
  </si>
  <si>
    <t>Sanesul</t>
  </si>
  <si>
    <t>Corumbá</t>
  </si>
  <si>
    <t>Origem Externa: SANESUL
Nome do Solicitante: RENATO MARCILIO DA SILVA
Número Ofício: 6226/2025/PSEC/ALEMS
Manifestação:
Em 02/03/2026 - realizada reunião presencial na Energisa com os diretores da SANESUL para tratar da qualidade de fornecimento das unidades de Corumbá.
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
UCs: 9000076
1717627
30723
1699438
1702111
1698960
1142916
Segue ofício em anexo.</t>
  </si>
  <si>
    <t>Status atual: Em atuação campo (DEOP/DCMD). 
Origem Externa: SANESUL
Nome do Solicitante: RENATO MARCILIO DA SILVA
Número Ofício: 6226/2025/PSEC/ALEMS
Manifestação:
Em 02/03/2026 - realizada reunião presencial na Energisa com os diretores da SANESUL para tratar da qualidade de fornecimento das unidades de Corumbá.
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
UCs: 9000076
1717627
30723
1699438
1702111
1698960
1142916
Segue ofício em anexo.</t>
  </si>
  <si>
    <t>Paraíso das Águas</t>
  </si>
  <si>
    <t>Eldorado</t>
  </si>
  <si>
    <t>ATA DE REUNIÃO – ASSENTAMENTO FLORESTA BRANCA
Data: 11 de junho de 2026
Local: Município de Eldorado/MS
Participantes: Representantes da Prefeitura Municipal, Energisa MS, Vereadora Mara, moradores e produtores rurais do Assentamento Floresta Branca.
Aos onze dias do mês de junho de dois mil e vinte e seis, realizou-se reunião entre representantes da Prefeitura Municipal de Eldorado, da Energisa MS e moradores do Assentamento Floresta Branca, com o objetivo de discutir os problemas relacionados ao fornecimento de energia elétrica na comunidade.
A Prefeita Municipal abriu a reunião agradecendo a presença de todos e destacou a importância da participação da Vereadora Mara como representante da comunidade, enfatizando a necessidade de união entre população, poder público e concessionária para a busca de soluções efetivas.
Durante a reunião, os moradores relataram diversos problemas relacionados ao fornecimento de energia elétrica, entre eles:
* Quedas frequentes de energia, principalmente durante chuvas e ventos;
* Oscilações constantes de tensão;
* Rompimento de cabos da rede elétrica;
* Queima de eletrodomésticos, motores, bombas d’água, ordenhadeiras, resfriadores de leite e outros equipamentos;
* Demora no atendimento das ocorrências registradas junto à concessionária;
* Problemas em transformadores considerados insuficientes para atender à demanda atual das propriedades;
* Dificuldades para obtenção de ressarcimento por danos elétricos.
A Vereadora Mara destacou que as reclamações são recorrentes e afetam grande parte das famílias do assentamento, mencionando casos específicos de prejuízos financeiros causados pela queima de equipamentos e pela interrupção das atividades produtivas.
Representando a Energisa, o Supervisor de Construção e Manutenção, Sr. André, esclareceu os procedimentos adotados pela empresa, destacando a necessidade de registro das ocorrências por meio dos canais oficiais de atendimento e a importância da atualização cadastral das unidades consumidoras, especialmente quanto à declaração de carga instalada nas propriedades.
Ficaram definidos os seguintes encaminhamentos:
1. A Energisa realizará uma inspeção geral na rede elétrica do Assentamento Floresta Branca;
2. Será efetuado levantamento das necessidades de poda de vegetação próxima à rede elétrica;
3. Serão analisados os casos de transformadores com possível necessidade de adequação ou aumento de capacidade;
4. A concessionária avaliará os protocolos de ressarcimento e as solicitações já registradas pelos moradores;
5. Será criado um grupo de comunicação entre representantes da comunidade e a Energisa para acompanhamento das demandas e divulgação das ações executadas;
6. A Energisa comprometeu-se a apresentar retorno à comunidade após a realização das inspeções e análises técnicas.
Ao final da reunião, a Prefeita informou que o município está providenciando melhorias nas estradas do assentamento, mediante utilização de material fresado asfáltico recentemente disponibilizado para manutenção dos trechos mais críticos.
Nada mais havendo a tratar, a reunião foi encerrada, ficando registrados os compromissos assumidos pelas partes para acompanhamento e solução das demandas apresentadas.
Eldorado/MS, 11 de junho de 2026.</t>
  </si>
  <si>
    <t>Prefeita Fabiana
Vereadora Mara
Assentados 
Andre Guilherme 
Paulo Giovani</t>
  </si>
  <si>
    <t xml:space="preserve"> Amanda Aparecida Teixeira dos Santos</t>
  </si>
  <si>
    <t>Câmara Municipal de Campo Grande</t>
  </si>
  <si>
    <t>Gentielza priorizar tratativa de obra do loteamento de Ponta Porã, está parado a verba na caixa economica e tem prazos. OS 551631953. Documentos anexo a OS.</t>
  </si>
  <si>
    <t>Gentileza priorizar tratativa de obra do loteamento de Ponta Porã, está parado a verba na caixa econômica e tem prazos. OS 551631953 Orçamento de Conexão.. Documentos anexo a OS.</t>
  </si>
  <si>
    <t>secretario de obras Joelson</t>
  </si>
  <si>
    <t>Obra para atender a usina de asfalto responsavel pelas obras no município.
"Usina de Asfalto para Pavimentação da MS316, que está necessitando dessa área, já irão iniciar a cobertura com a Capa de Asfalto."
Expectativa:. 20/08/26.</t>
  </si>
  <si>
    <t>Antonio Ãngelo - Prefeito</t>
  </si>
  <si>
    <t>0302500580 - 0302600271 - 0302600248</t>
  </si>
  <si>
    <t>ATA DE REUNIÃO
Data: 23/07 2026
Local: Prefeitura Municipal de Angélica – MS
Participantes: Representantes da Prefeitura Municipal de Angélica, Energisa MS, Secretários Municipais.
Pauta
* Fortalecimento da parceria entre Prefeitura e Energisa.
* Manejo da arborização urbana e convênio de poda.
* Programação de desligamentos e intervenções na rede elétrica.
* Demandas relacionadas à qualidade do fornecimento de energia.
* Sobrecarga da rede elétrica e aumento de carga.
* Acompanhamento de solicitações técnicas em unidades públicas.
Desenvolvimento da reunião
A reunião teve como objetivo alinhar o relacionamento entre a Prefeitura de Angélica e a Energisa, fortalecendo a comunicação entre as equipes técnicas e operacionais para agilizar o atendimento das demandas do município.
Inicialmente, foi apresentada a estrutura operacional da Energisa responsável pela região sul do Estado, destacando o atendimento realizado pelas equipes locais, pelo supervisor regional e pelo técnico responsável pela área, bem como os canais de atendimento disponíveis para o município.
O prefeito ressaltou que um dos principais desafios enfrentados atualmente é a arborização urbana. Foi informado que diversas árvores foram plantadas em gestões anteriores sem planejamento adequado, estando hoje em conflito com a rede elétrica, o que ocasiona interrupções no fornecimento de energia, riscos operacionais e aumento dos custos de manutenção.
Também foi relatada a dificuldade em programar desligamentos da rede para execução das podas, reforçando a necessidade de maior integração entre Prefeitura e Energisa para planejamento conjunto das intervenções.
A Energisa esclareceu que, atualmente, os desligamentos programados são bastante restritos em razão das exigências regulatórias da ANEEL, motivo pelo qual a concessionária prioriza, sempre que possível, a utilização de equipes de Linha Viva para realização dos serviços com a rede energizada.
Como alternativa, foi sugerido que a Prefeitura encaminhe, com antecedência, sua programação semanal ou pontual de podas por meio de ofício direcionado ao canal de atendimento do Poder Público. Dessa forma, a concessionária poderá avaliar cada situação e compatibilizar o cronograma das equipes.
Durante a reunião foi destacado que o município possui interesse em manter uma parceria permanente com a Energisa para que as equipes possam atuar de forma coordenada, evitando riscos, reduzindo impactos à população e garantindo maior eficiência nas ações.
Na sequência, foi discutido o Convênio de Poda encaminhado anteriormente pela Energisa ao município. Ficou registrado que o documento foi enviado à Secretaria Municipal de Meio Ambiente e será verificada sua tramitação para assinatura.
Foi reforçado que o convênio prevê:
* atuação da Energisa nas podas emergenciais e nas intervenções em vegetação que oferece risco à rede elétrica;
* apoio da Prefeitura na retirada e destinação dos resíduos vegetais;
* maior agilidade nas autorizações necessárias;
* segurança jurídica para execução dos serviços;
* possibilidade de atendimento de árvores em situação crítica mediante solicitação formal do município.
O prefeito destacou que o convênio auxiliará o município perante os órgãos de fiscalização e controle, além de facilitar o planejamento das futuras intervenções.
Também foi apresentada pela Energisa a possibilidade de utilização do viveiro de mudas da concessionária para doação de espécies adequadas ao plantio urbano, incentivando a substituição gradual das árvores incompatíveis com a rede elétrica por espécies apropriadas.
Na sequência, foram discutidas ocorrências relacionadas ao fornecimento de energia elétrica.
Foi citado como exemplo positivo um problema recorrente em determinado setor da cidade que foi solucionado após a retirada de uma árvore em conflito com a rede elétrica, eliminando as interrupções registradas anteriormente.
O prefeito também relatou ocorrências de oscilações de tensão em alguns bairros e destacou a necessidade de análise técnica sempre que identificadas situações semelhantes.
A Energisa explicou que diversos casos decorrem do aumento de carga das unidades consumidoras, quando os clientes ampliam suas instalações elétricas sem comunicar previamente a distribuidora. Nesses casos, é necessária a solicitação formal para análise e eventual redimensionamento da carga.
Outro tema abordado foi o crescimento da geração distribuída por meio de sistemas fotovoltaicos.
A Energisa explicou que o aumento expressivo das instalações de energia solar tem provocado novos desafios operacionais em todo o Estado, exigindo elevados investimentos em ampliação e modernização do sistema elétrico. Informou ainda que o plano de investimentos da concessionária contempla aproximadamente R$ 1 bilhão em obras para reforço da rede elétrica.
Em relação às unidades públicas, foi discutida a situação da Escola Municipal Napoleão.
A Prefeitura informou que a unidade apresenta dificuldades para utilização dos aparelhos de ar-condicionado, principalmente após a instalação de um empreendimento comercial nas proximidades.
Foi esclarecido que a escola possui três unidades consumidoras (três medidores), distribuídas entre os blocos da edificação, e que já havia sido encaminhada solicitação anterior para análise do transformador.
A Energisa informou que realizará:
* verificação da carga cadastrada da unidade;
* análise dos ofícios anteriormente protocolados;
* aferição dos níveis de tensão;
* avaliação da necessidade de medições em campo;
* estudo sobre eventual redimensionamento da instalação.
Também foi solicitado que sejam encaminhados novamente os números dos protocolos anteriores e fotografias dos medidores para facilitar a análise.
Durante a reunião surgiu ainda a possibilidade de ampliar a avaliação para todo o complexo escolar, incluindo a creche localizada na mesma quadra, totalizando quatro unidades consumidoras.
Ao final, os participantes reforçaram a importância da manutenção da comunicação direta entre Prefeitura e Energisa para solução rápida das demandas técnicas, planejamento das podas, melhorias na qualidade do fornecimento de energia e fortalecimento da parceria institucional.
Encaminhamentos
1. Verificar internamente a situação do Convênio de Poda encaminhado pela Energisa e providenciar sua formalização.
2. A Prefeitura encaminhará programação de podas por meio de ofício ao canal do Poder Público da Energisa.
3. A Energisa realizará análise técnica da Escola Municipal Napoleão, incluindo medição de tensão e avaliação da carga instalada.
4. A Prefeitura enviará novamente os protocolos anteriores e fotografias dos medidores da unidade escolar.
5. Avaliar tecnicamente todo o complexo escolar, incluindo a creche localizada na mesma quadra.
6. Manter comunicação direta entre as equipes técnicas para programação de intervenções na rede elétrica e manejo da arborização urbana.
7. Fortalecer a parceria para substituição gradual de espécies arbóreas inadequadas por espécies compatíveis com a rede elétrica.
E por ultimo ateção na obra 0302600271 - 0302600248, mudança de postes para atender demanda com urgencia 0, recurso parado. 0302500580 e poste com risco de barida pois está no meio da rua.</t>
  </si>
  <si>
    <t>Agente Monike, informo que as obras mencionadas já estão cadastradas no APP da Central.
Obra 0302600271 - suspensa em 15/07/2026 necessário aprovação de projeto de travessia de rodovia (AGESUL) - cadastrada através do ID 891.
Obra 0302600248 - orçamento aprovado pelo cliente na data de 15/07/2026. cadastrada através do ID 818.
Obra 0302500580 - cadastrada através do ID 898, ação já direcionada a área responsável para as devidas tratativas.</t>
  </si>
  <si>
    <t>Prefeito Edinho
Diretora de Planejamento e Obras Natyla
Secretario de obras Renato 
Diego Coodenador Energisa
Monike Agente</t>
  </si>
  <si>
    <t>Por favor verificar possibilidade de agilizar atendimento da Obra 0302500580 - Deslocamento de Poste.</t>
  </si>
  <si>
    <t>Bonito</t>
  </si>
  <si>
    <t>Miranda</t>
  </si>
  <si>
    <t>Bela Vista</t>
  </si>
  <si>
    <t>Assentamento Laga Grande</t>
  </si>
  <si>
    <t>Prefeitura de Rio Negro</t>
  </si>
  <si>
    <t>Rio Negro</t>
  </si>
  <si>
    <t>Prefeitura solicitou agilidade na realocação de 2 postes em Ipezal. Visita realizada pelo Projeto Integrar - Registro ID 123</t>
  </si>
  <si>
    <t>Visita realizada pelo Projeto Integrar - Registro ID 74</t>
  </si>
  <si>
    <t>Podar Árvore em frente a Dona Cândida na comunidade baianopolis, Visita realizada pelo Projeto Integrar - Registro ID 74</t>
  </si>
  <si>
    <t>Fabricio Silva</t>
  </si>
  <si>
    <t>Fabricio Cerchiari da Silva</t>
  </si>
  <si>
    <t>Visita realizada pelo Projeto Integrar - Registro ID 44
1- Prefeito citou que a cidade está com obras de loteamentos particulares, ainda em fase de canteiro. Acompanhar essas solicitações pela central do cliente, coletando expectativa futura de prazo com a Prefeitura.
2- Sobre a carreta "Nossa Energia" da Eficiência Energética. Prefeito demonstrou interesse, solicitei para que ela sugerisse uma data para a realização de uma ação na cidade. (26, 27 e 28 de Junho é a Festa do Sereno, maior evento da cidade).
3- Sobre a poda na cidade e o possível apoio na recolha de galhos, o Prefeito citou que Julho é o melhor mês. Pedu para evitar podar em Junho em razão da festa do sereno, e que as equipes da Prefeitura estarão todas ocupadas.
4- Citaram alguns problemas de interrupção na UC da MS Pantanal (Tratamento de água e esgoto). Talvez seja sobrecarga e necessidade de revisão da declaração. A unidade fica próxima do cemitério. Realizar diagnóstico.</t>
  </si>
  <si>
    <t>FAVOR REALIZAR AS ANALISES DAS DEMANDAS DO PROJETO INTEGRAR OS QUATROS PONTOS E NOS RESPALDAR AS ATUALIZAÇÕES .</t>
  </si>
  <si>
    <t>GERMINO ROZ - PREFEITO
DIAN
DIEGO SOUZA</t>
  </si>
  <si>
    <t>PREFEITURA MUNICIPAL DE CORUMBA</t>
  </si>
  <si>
    <t>Visita realizada pelo Projeto Integrar - Registro ID 52
1- Execução de 4 obras em atraso a pedido da prefeitura de Ladario.
2- Apoio na poda de 5 Sete Copas na cidade de Ládario.
3- Solicitação de totem para atendimento na prefeitura de Ládario.</t>
  </si>
  <si>
    <t>HELDER BARBOSA</t>
  </si>
  <si>
    <t>Helder Barbosa Diniz</t>
  </si>
  <si>
    <t>Ação gerada e direcionada ao DESC (Availdo) para as devidas tratativas. Por favor, disponibilizar as informações a seguir para que possamos gerar as ações e direcionar aos responsáveis para as devidas tratativas. Projeto Integrar - ID 50. 
1. Validar e responder ao prefeito como e em qual rede será conectada as GDs do Polo Industrial, para direcionamento gentileza informar o nº da(s) unidade(s) conssumidora(s) ou o nº do(s) projeto(s) elétrico(s). 
2. Indústria no Polo Industrial que querem migrar da Coeso para a EMS - (Frigorífico, Peixe, Mandioca e Laranja), para os devidos direcionamentos informar o nº da(s) unidade(s) consumidora(s).</t>
  </si>
  <si>
    <t>Visita realizada pelo Projeto Integrar - Registro ID 87
1- Questionou que quando de uma obra estão trocando os postes e levando os braços da luminária.
2- Solicitou para ver a possibilidade de ligar os padrões que foram desmembrados das lojas anexa ao terminal rodoviário, foi orientado a solicitar uma OS de padronização.</t>
  </si>
  <si>
    <t>Visita realizada pelo Projeto Integrar - Registro ID 45
1- Prefeito citou que estão com projetos em andamento de loteamentos sociais pela cidade, e que provavelmente irá solicitar uma carta de viabilidade em breve. Um com 72 lotes e outro com 20 lotes. Inserir para acompanhamento na central do cliente.
2- Prefeito citou região da AGROFAP, que o local estava com faltas de energia constantes, porém já foi resolvido após a retirada de um trecho de bambus pela Energisa. Informou sobre o Ass. Bela Manhã, que está com faltas constantes de energia. Inspecionar.
3- "Realocação de rede na entrada da cidade para a construção de um portal na entrada da cidade. Ação interna: Inserir essa obra na Central do Cliente.
0302600023 - Liberada em 27/02/2026"</t>
  </si>
  <si>
    <t>ASPO</t>
  </si>
  <si>
    <t>Prefeitura Municipal de Jaraguari</t>
  </si>
  <si>
    <t>Jaraguari</t>
  </si>
  <si>
    <t>Solicita agilizar execução do Ponto de entrega
Expec 21/08/26</t>
  </si>
  <si>
    <t>Solicita agilizar execução do Ponto de entrega
Expectativa do cliente 21/08/26</t>
  </si>
  <si>
    <t>Gerson Claro
Paulo Roberto 
William Maksoud</t>
  </si>
  <si>
    <t>Ligação nova do Poço no Assentamento Sta Paula.
25/08/26.</t>
  </si>
  <si>
    <t>Ligação nova do Poço no Assentamento Sta Paula.
Expectativa do cliente: 25/08/26.
Solicita agilização no atendimento da Obra 0302600292.</t>
  </si>
  <si>
    <t>DEPUTADO CARAVINA</t>
  </si>
  <si>
    <t>Não</t>
  </si>
  <si>
    <t>Maracaju</t>
  </si>
  <si>
    <t>Bruna Fabiana Braguin dos Santos</t>
  </si>
  <si>
    <t>Itaquiraí</t>
  </si>
  <si>
    <t>Moacir Costa</t>
  </si>
  <si>
    <t>Prefeito Rogério</t>
  </si>
  <si>
    <t>Origem: Thiago Balbio/Pres. Paulo. Solicitação de prioridade da obra 0202600473- Afastamento de Rede OS 509306177. Expectativa do cliente:  o quanto antes essas, lançado no priorizador 31/05.</t>
  </si>
  <si>
    <t>Aline Mesquita</t>
  </si>
  <si>
    <t>Prefeito Marçal Filho</t>
  </si>
  <si>
    <t>Prefeitura de Dourados</t>
  </si>
  <si>
    <t>CONCLUIDA</t>
  </si>
  <si>
    <t>Felipe Nascimento</t>
  </si>
  <si>
    <t>Agenda de Campo - Projeto Integrar.
Card finalizado agenda em campo - Projeto Integrar - sem documentos em anexo e ou ações para direcionamentos.</t>
  </si>
  <si>
    <t>Agenda de Campo - Projeto Integrar.
Informação. Sem documentos em anexo e ou ações para direcionamentos.</t>
  </si>
  <si>
    <t>Sem informações</t>
  </si>
  <si>
    <t>Alex Almeida Leite</t>
  </si>
  <si>
    <t>Prefeitura de Batayorã</t>
  </si>
  <si>
    <t>Prefeito Germino, informou que esteve com Presidente Paulo, para falar sobre qualidade de serviços prestados e na demora do restabelecimento principalmente em áreas rurais. 
Ele não concordou com  o orçamento enviado para relocação do poste, que estavam colcoando cabo protegido e a rede era cabo nu, que não arcaria com custo uma vez a energisa, tomando a iniciativa de melhorar o cabeamento, orçamento foi corrigido e enviado o nova ele.</t>
  </si>
  <si>
    <t>=&gt; Devido á analise da performance da qualidade do fornecimento para a região, e identificado os principais trechos ofensores da qualidade percebida pelo cliente, há necessidade de atuação da manutenção nos blocos abaixo:
FR(17834)
FR(17964)
RD(745462)
FU(18087)
FR(18051)</t>
  </si>
  <si>
    <t>Prefeito 
Vice Prefeito
Energisa
Secretário de Obras</t>
  </si>
  <si>
    <t>Diego Souza Silva, Emerson Seixas Costa</t>
  </si>
  <si>
    <t>PREFEITURA DE BATAGUASSU</t>
  </si>
  <si>
    <t>obra concluida 06/07</t>
  </si>
  <si>
    <t>Vicentina</t>
  </si>
  <si>
    <t>várias demandas do município de Maracajú.
Central do cliente (07/08/2026). Em análise foi identificado que a obra 0202600657 está concluída. Conforme ordem de serviço 547531837 ligação executada em 07/07/2026 dando origem a unidade consumidora 3859270.</t>
  </si>
  <si>
    <t>Em análise foi identificado que a obra 0202600657 está concluída. Conforme ordem de serviço 547531837 ligação executada em 07/07/2026 dando origem a unidade consumidora 3859270.</t>
  </si>
  <si>
    <t>Catito vereador de MS
Franciele</t>
  </si>
  <si>
    <t>Origem Externa: Vereador Catito
Origem Interna: DPres. Paulo
Obra: 0202600657- Kairos Participações 
Fazenda Monte Cristo</t>
  </si>
  <si>
    <t>Prefeitura solicita urgência Protocolo: 174368552   realocação de quatro postes de energia eléctrica situados na Rua Bom Fim  no trecho compreendido entre a Rua 18 de Marco e a Rua Para  no Bairro Afonso Paim  no Município de Anastácio   MS  tendo em vista a futura execução de obras de pavimentação asfáltica e drenagem pluvial no referido local, Obra 0252600193.
Gerado em duplicidade. Atendimento realizado pelo ID 252.</t>
  </si>
  <si>
    <t>Samer -a Assessoria da prefeitura
Barbosinha- vice governador</t>
  </si>
  <si>
    <t>Vereador Rafael Tavares</t>
  </si>
  <si>
    <t>Atendimento</t>
  </si>
  <si>
    <t>vereadores vieram reclama da má prestação de serviço pelo nosso atendimento presencial no municipio - Loja com ar condicionado queimado, somente um atendente e painel de senhas quebrados, não sendo possiel organizar a chegada do cliente que ali buscam atendimento</t>
  </si>
  <si>
    <t>Supervisor Maxwell, solicito, por gentileza, a análise e verificação da reclamação referente ao nosso atendimento no município de Aparecida do Taboado.
Peço também que, após a apuração, seja dado um retorno com as devidas considerações e eventuais providências adotadas.</t>
  </si>
  <si>
    <t>Maxwell Ferreira Ossuna</t>
  </si>
  <si>
    <t>Presidente da Camara  - Heberson Galter e Vereador Pinduca</t>
  </si>
  <si>
    <t>Rochedo</t>
  </si>
  <si>
    <t>Visita instiucional pelos supervisores pelo PROJETO INTEGRAR.
SEM DEMANDAS A TRATAR.
Central do Cliente (11/08/202): Informação. Visita institucional pelos supervisores pelo PROJETO INTEGRAR. Sem demandas a tratar.</t>
  </si>
  <si>
    <t>Informação. Visita institucional pelos supervisores pelo PROJETO INTEGRAR. Sem demandas a tratar.</t>
  </si>
  <si>
    <t>Pela Energisa:Availdo, Supervisor Marcos Luglio e Ermenson
Pela Prefeitura: Secretario de obras Valter, Felipe - Panejamento e Secretaria de finanças</t>
  </si>
  <si>
    <t>Availdo Taveira de Oliveira, Marcos Antonio Luglio, Ermenson Almeida de Arruda</t>
  </si>
  <si>
    <t>VISITA INSTITUCIONAL COM SUPERVISOR PELO PROJETO INTEGRAR
SEM DEMANDAS A TRATAR.
Central do Cliente (1/08/2026): Informação. Visita institucional, sem demandas a tratar.</t>
  </si>
  <si>
    <t>Informação. VISITA INSTITUCIONAL COM SUPERVISOR PELO PROJETO INTEGRAR.
SEM DEMANDAS A TRATAR.</t>
  </si>
  <si>
    <t>Informação. Visita institucional, sem demandas a tratar.</t>
  </si>
  <si>
    <t>PREFEITURA  - SECRETARIA DE PLANEJAMENTO - CLAUDIA E SECREARIO DE OBRAS</t>
  </si>
  <si>
    <t>Availdo Taveira de Oliveira, Tiago Portilho Rodrigues</t>
  </si>
  <si>
    <t>REITERADO A NECESSIDADE DA ASSINATURA DO CONVENIO DE PODAS
SEM DEMANDAS A TRATAR.
Central do Cliente (11/08/2026): Informação. Visita institucional. Sem demandas a tratar.</t>
  </si>
  <si>
    <t>Informação. Visita institucional. Sem demandas a tratar.</t>
  </si>
  <si>
    <t>PELA ENERGIA: AVAILDO
PELA PREFEITURA: CHEFE DE GABINETE - JOSIANE, SECRETARIO DE FINANÇAS RAFAEL E PREFEITO ANDRE</t>
  </si>
  <si>
    <t>VISITA PROJETO INTEGRAR
SEM DEMANDAS A TRATAR.
Central do Cliente (11/08/2026): Informação. Visita Projeto Integrar, sem demandas a tratar.</t>
  </si>
  <si>
    <t>Informação. Visita Projeto Integrar, sem demandas a tratar.</t>
  </si>
  <si>
    <t>PELA ENERGISA: AVAILDO
PELA PREFEITURA: CHEFE DE GOVERNO JARY JUNIOR , SECRETARIO DE OBRAS MADSON E PROCURADORA DO MUNICIPIO</t>
  </si>
  <si>
    <t>Jateí</t>
  </si>
  <si>
    <t>Visita realizada pelo Projeto Integrar - Registro ID 38</t>
  </si>
  <si>
    <t>Analisar os itens abaixo conforme reunião pelo projeto integrar realizado m abril.
1 - Sobre a carreta "Nossa Energia" da Eficiência Energética. Prefeita demonstrou interesse, solicitei para que ela sugerisse uma data para a realização de uma ação na cidade. (11 de Novembro é o aniversário da cidade).
2 - Hotel na frente da praça: Prefeita citou que esse hotel é do mesmo dono do restaurante, a solicitação está no nome do solicitante: Edson Alves dos Santos (67 99698-3121). Prefeita pediu para agilizar esse pedido.
3 - A unidade consumidora do restaurante (mesmo dono), alega estar com problemas de tensão, iremos checar para ver se temos histórico deste pedido. Proprietário: Edson Alves dos Santos (67 99698-3121)
4 - A Prefeita solicita a alteração dos nomes das unidades consumidoras da Prefeitura, de forma a facilitar a gestão do município na hora de pagar as despesas (Posto de Saúde, Creche, Escola, Prefeitura).
5 - Loteamento Portal do Sol: As referências elétricas são: TD(748480) // TD(748483) - GDO02. Analisar as causas e constatar se pode ser algum aumento de carga à revelia.
6 - "Gleba Nova Esperança: Alegam constantes interrupções nesta região, alegam que lá existe uma escola com mais de 200 alunos e que vem sofrendo com constantes quedas de energia.
"
7 - "Gleba Nova Esperança: Informaram que existe uma demanda para troca de postes de madeira de eucalipto. Informações que iriamos checar o status dessa demanda e dar uma devolutiva.
"
8 - Usina solar da Prefeitura: Definimos que iremos checar como está a atual distribuição dos créditos entre as unidades da Prefeitura, e apoiar a gestão do município em eventual correção dos pesos.
9 - Definimos que faremos uma consulta regulatório para saber se a Prefeitura pode entrar no mesmo regime de cooperativa, de forma a permitir ceder parte dos créditos para os munícipes.
10 - Prefeita deseja utilizar os créditos de sua usina solar para abater a Cosip, caso não seja viável, deseja uma alternativa de isentar as famílias de baixa renda. Monike explicou que existe uma Portaria que ampara esse assunto, a se comprometeu a compartilh
11 - "Em razão do município de Jateí possuir uma Prefeita, e da maioria da câmara ser composta por mulheres, a Prefeitura questionou se não é possível alguma ação social voltada para o público feminino no município.</t>
  </si>
  <si>
    <t>Prefeitura de Glória de Dourados</t>
  </si>
  <si>
    <t>Glória de Dourados</t>
  </si>
  <si>
    <t>Prefeito solicitou a retirada de postes que estão fora do projeto de execução do calçamento em área urbana de Ribas do Rio Pardo. Giovai qual o protocolo? ou ordem de serviço? ou ofício para que possamos identificar a solicitação?</t>
  </si>
  <si>
    <t>Prefeito Roberson
Bartolomeu Engenheiro refeitura
Giovani Moura - Energisa
Gustavo - DCMD Energisa</t>
  </si>
  <si>
    <t>OS 544280985
A PREFEITURA MUNICIPAL DE MARACAJU, inscrita no CNPJ 03.442.597/001-12, por meio 
deste, vem respeitosamente solicitar o início das obras de IMPLANTAÇÃO E EXTENSÃO DE 
FORNECIMENTO DE ENERGIA, em atendimento ao empreendimento LOTEAMENTO 
FORTALEZA III, localizado no município de Maracaju/MS, objeto das matrículas de no 26830 e 
26.833 do Cartório de Registro de Imóveis de Maracaju/MS, em atendimento aos 109 lotes, conforme 
consta no Projeto Elétrico e croqui da locação dos postes para a extensão da rede. 
O referido loteamento encontra-se em fase de construção e necessita de atendimento elétrico adequado 
para viabilizar o fornecimento de energia às futuras residências, conforme as normas técnicas e 
regulatórias vigentes. 
Dessa forma, solicitamos a gentileza de início das obras, antes da execução do pavimento com a maior 
brevidade possível.</t>
  </si>
  <si>
    <t>Prefeito Calderan 
Gerente de obras Adriana</t>
  </si>
  <si>
    <t>Antônio João</t>
  </si>
  <si>
    <t>Francisco Ferreira dos Santos</t>
  </si>
  <si>
    <t>Agenda para evitar audiência Pública.</t>
  </si>
  <si>
    <t>Arquivo da visita referentes ao pontos em KML em anexo nesse card.
 Ponto 1 – Poda MT/BT
 Ponto 4 – Poda MT
 Ponto 5 – Poda BT
 Ponto 6 – Manutenção Fusível
 Ponto 7 – Poda BT
 Ponto 12 – Medidor Exposto
 Ponto 13 – Poda BT
 Ponto 14 – Poda/Manutenção
 Ponto 15 – Poda BT
 Ponto 16 – Poda BT
 Ponto 17 – Poda BT
 Ponto 18 – Poda BT
 Ponto 19 – Poda MT
 Ponto 20 – Aprumar Poste
 Ponto 21 – Regularizar Ramal / Implantar Poste.
 Ponto 22 – Poda BT
 Ponto 23 – Poda MT
 Ponto 24 – Poda MT</t>
  </si>
  <si>
    <t>Prefeita- Cileide
Presidente da Câmara - Robinho
Representante do Comercio
SANESUL
Representante assentamento rural</t>
  </si>
  <si>
    <t>RECOMPOSIÇÃO DE ENERGIA EM RUA LATERAL DO CONDOMÍNIO RIVIERA
LIGAÇÃO DE ILUMINAÇÃO PÚBLICA</t>
  </si>
  <si>
    <t>Conforme conversado pelo ligação com o César irá uma equipe no local hoje 20/05 para realizar o levantamento do que precisa para realizar a adequação da rede no máximo até sexta 22/05.</t>
  </si>
  <si>
    <t>Vereador André Salineiro
Giovani Moura Energisa</t>
  </si>
  <si>
    <t>Manutenção e Poda de árvores. Poda de árvore no Assentamento Eldorado II</t>
  </si>
  <si>
    <t>Qual atualização dessa solicitação de poda?</t>
  </si>
  <si>
    <t>OF. n° 0100/GAB JN/2026, e disparar para o DEOP e DCMD, oirgem: DPRE</t>
  </si>
  <si>
    <t xml:space="preserve"> manutenção da rede de energia elétrica, bem como a substituição do transformador da linha de transmissão localizada na Fazenda Palmeiras, Indubrasil, Vila Entrocamento, Campo Grande/MS (UC 10/1543-8).</t>
  </si>
  <si>
    <t>Reunião solicitada pelo Vereador Paulo Sérgio para melhorias da qualidade de energia na área rural de Amambai e também comércio e indústrias.  Solicitaram melhorias nas redes</t>
  </si>
  <si>
    <t>Reunião solicitada pelo Vereador Paulo Sérgio para melhorias da qualidade de energia na área rural de Amambai e também comércio e indústrias.  Solicitaram melhorias nas redes.
 DEOP: Identificado apenas mais 2 blocos Rurais com expressiva quantidade de aberturas e ainda não contemplados no Plano de Manutenção (lista abaixo), os demais blocos já mapeados em com avanço de manutenção em 2026: RD(736506) - AMA01 - RD(8289) - CAA51.</t>
  </si>
  <si>
    <t>Vereadores Paulo e Sizana</t>
  </si>
  <si>
    <t>Origem Externa: Visita in loco
Nome do Solicitante: Prefeito Sr. José Paulo, Vereadores Junior Beraldi, Rodrigo Cowboi,
Rozidalia Reis, Nelson Fernandes secretário de Obras, Valdemar Rocha
Vice-Prefeito, Leandro Barbosa Presidente do sindicato Rural, Sandra Pereira da
associação comercial, Giliani Rodrigues, Emanuel e Sintia representantes da
Indústria Atvos.
Número Ofício: N/A
OS: N/A
Manifestação: Foi realizado a visita in loco pelo Giovani e foi recebido a demanda de podas de árvores no trecho da BR 163 localizada entre Nova
Alvorada do Sul e a Ponte seca.</t>
  </si>
  <si>
    <t>Origem Externa: Câmara Municipal de Inocência
Nome do Solicitante: Valmes José de Carvalho
Número Ofício: 279/2025/GAB/CMI
Os: 479315607
Manifestação: Ofício encaminha solicitação de estudo visando solucionar as constantes quedas de energia na Rua Francklin Gomes da Silva, Jardim Bocaina, no município de Incoência.
Domo de ferro: Foi realizado visita in loco pelo Dian, conversado com o Vice Prefeito Henrique e foi levantado as seguintes informações relacionadas a qualidade: Religamentos no município todo dia das 18 às 20hrs, Fábrica de gelo com oscilação e queima de equipamentos, trecho TD 734803 e Quedas de energia na R: Pernambuco em frente ao Mercado M &amp; M, casa da vereadora Joceana.
Status atual: Em atuação campo (DEOP/DCMD)</t>
  </si>
  <si>
    <t>Origem Externa: Câmara Municipal de Dourados
Nome do Solicitante: Vereadora Isa Jane Marcondes
Número Ofício: 493/2025
OS: 482491329
Manifestação: Ofício relata as constantes quedas de energia nos bairros: Quarto Plano, Cachoeirinha, Cohab II, Sitioca Campina Verde, Campo Dourado e Campo Belo.
Segue ofício em anexo.
Domo de ferro: Foi realizado a visita in loco pelo Giovani no qual coletou as demandas relacionadas a qualidade no fornecimento: Frequentes quedas de energia nos condomínios: Porto seguro e
Porto Nique; ecoVile 1 e 2, Frequentes quedas de energia no Distrito Vila Macaúba e Frequentes quedas de energia nos bairros Quarto Plano e Água
Boa.</t>
  </si>
  <si>
    <t>Origem Externa: Câmara Terenos/MS
Nome do Solicitante: José da Silva Cipriano
Número Ofício: 177/2025
OS: 482139947
Manifestação: Ofíco que trata das interrupções de energia e medidas necessárias para um fornecimento de energia regular e de qualidade na zona rural.
Segue ofício em anexo.
Domo de ferro: Foi realizado visita in loco pelo Dian e foi levantado as seguintes informações relacionadas a qualidade: Faltas de Energia frequentes no Jd. América, Oscilações e faltas de Energia no Assentamento 7 de Setembro
e Ouro Branco e Oscilações e necessidade de aumento de carga no Assentamento
Sta Mônica TD(24405) ENTF567312.</t>
  </si>
  <si>
    <t>Status atual: Em atuação campo (DEOP/DCMD)
Origem Externa: Câmara Terenos/MS
Nome do Solicitante: José da Silva Cipriano
Número Ofício: 177/2025
OS: 482139947
Manifestação: Ofíco que trata das interrupções de energia e medidas necessárias para um fornecimento de energia regular e de qualidade na zona rural.
Segue ofício em anexo.
Domo de ferro: Foi realizado visita in loco pelo Dian e foi levantado as seguintes informações relacionadas a qualidade: Faltas de Energia frequentes no Jd. América, Oscilações e faltas de Energia no Assentamento 7 de Setembro
e Ouro Branco e Oscilações e necessidade de aumento de carga no Assentamento
Sta Mônica TD(24405) ENTF567312.</t>
  </si>
  <si>
    <t>Origem Externa: Visita in loco
Nome do Solicitante: Prefeitura
Número Ofício: N/A
OS: N/A
Manifestação: Em visita realizada no município pelo Dian foram coletadas algumas demandas, segue as demandas solicitadas: Limpeza de faixa mecanizada - LM entre ID 9070606 e ID
9070607 (CRÍTICO), Lançado 450 MTS LIMPEZA de faixa LM entre ID 8615174 e ID
9046178 (URGENTE), Lançado 220 MTS limpeza de faixa LM entre ID 135469229 e ID
9046694 (URGENTE) e Lançado 300 MTS limpeza de faixa LM entre ID 9553699 e ID
9563035 (URGENTE)</t>
  </si>
  <si>
    <t>Origem Externa: Visita in loco
Nome do Solicitante: Secretário de Obras Sr. Cleyton
Número Ofício: N/A
OS: N/A
Manifestação: Foi realizado a visita in loco no município pelo Giovani e foi coletada a demanda de poda no Assentamento Eldorado II. Município Sidrolândia</t>
  </si>
  <si>
    <t>Origem Externa: Visita in loco
Nome do Solicitante: Vereador Shell
Número Ofício: N/A
OS: N/A
Manifestação: Foi realizado a visita in loco pelo Dian e foi recebido a demanda de manutenção na UC 2496509, trata-se de um produtor de leite. UC 2496509 - Fazenda Santa Maria (Inocência)</t>
  </si>
  <si>
    <t>Origem Externa: Visita in loco
Nome do Solicitante: Prefeito Roberson e a Vereadora e Presidente da Câmara Sra. Tânia
Número Ofício: N/A
OS: N/A
Manifestação: Foi realizado a visita in loco pelo Giovani e foi recebido a demanda de poda na faixa de servidão no Ass. Nossa Senhora das Graças no município de Ribas do Rio Pardo.</t>
  </si>
  <si>
    <t>Prefeitura Municipal Bonito</t>
  </si>
  <si>
    <t>Origem Externa: Visita in loco
Nome do Solicitante: Prefeitura municipal
Número Ofício: N/A
OS: N/A
Manifestação: Foi realizado a visita in loco pelo Dian e foi recebido a demanda de qualidade no fornecimento -
Gruta do Lago Azul, Pousada Boyra, Bon Bom no município de Bonito.</t>
  </si>
  <si>
    <t>Origem: Agente de relacionamento Giovani Moura
Vereador solicitou revisão no sistema elétrico nos bairros Novo Horizonte e Altos do Indaiá em Dourados. Protocolo 9500628194. UC 3742758.
Em atuação Campo (DEOP/DCMD).</t>
  </si>
  <si>
    <t>Vereador.</t>
  </si>
  <si>
    <t>Obra: 0102503007 com prazo de 120 dias ano 2025 sem conclusão, Prefeitura entrou em contato pois já teve obito no local e precisa ser resolvido com urgência. Agradeço a informação do novo prazo, expectativa do cliente que seja dentro do mês de Junho.</t>
  </si>
  <si>
    <t>Secretario de Obras</t>
  </si>
  <si>
    <t>DCMD - PROJETO</t>
  </si>
  <si>
    <t>Solicitação feita pelo Diretor Matos - Reclamação de constante queda, acionado o time de manutenção. UC 158916 - Fazenda Arrozal (Amambai)</t>
  </si>
  <si>
    <t>Audiência Pública - Zeca do PT (Jaraguari e Sonora). Reclamação de qualidade de fornecimento sobre frequência de falta de energia.
Origem: Audiência Pública
Dep. Estadual Zeca do PT
3701152 -Jaraguari
917743 - Sonora</t>
  </si>
  <si>
    <t>Audiência Pública - Zeca do PT (Jaraguari e Sonora)</t>
  </si>
  <si>
    <t>Origem externa: Vereador Catito
Origem interna: DPres. Paulo
Manutenção de rede/Verificação de Tensão. Cliente reclama da qualidade de fornecimento e solicita verificação das condições dos cabos.</t>
  </si>
  <si>
    <t>Manutenção da Rede - Dia 07/10  Francisco de Ddos foi até a propriedade e correu toda a rede com o proprietário, assim ficou de mandar uma equipe com drone e verificar os pontos mais críticos, e assim ficou de mandar o caminhão para realização dessas manutenções. Após as manutenções realizadas na rede agora a energia cai mais vezes ao dia e volta com 30 a 40 minutos - DIAN QUE ESTA VERIFICANDO ESTA DEMANDA</t>
  </si>
  <si>
    <t>Manutenção da Rede - Dia 07/10  Francisco de Ddos foi até a propriedade e correu toda a rede com o proprietário, assim ficou de mandar uma equipe com drone e verificar os pontos mais críticos, e assim ficou de mandar o caminhão para realização dessas manutenções. Após as manutenções realizadas na rede agora a energia cai mais vezes ao dia e volta com 30 a 40 minutos - DIAN QUE ESTA VERIFICANDO ESTA DEMANDA.
ENERGISA
Verificar com o Dian/14-04: Ações em andamento: DCMD no bloco no qual o cliente é atendido foram realizadas manutenções em 13 estruturas; limpeza de 0,15km de faixa. Na última inspeção foi realizada em 14/04 e foi identificado necessidade outras manutenções (AÇÕES CONCLUÍDAS). Foram levantadas 25 oportunidades de manutenções com programação de execução para 21/05/2026. 
04/05: previsão de conclusão hoje 04/05, do ramal que atende o cliente. A fonte que atende o ramal está sendo inspeção no detalhe por drone e a previsão de manutenção de acordo com os lavantamentos apontados será à partir de 11/05. 
16/06 - levantamento de carga com a perdas. Pois as manutenções foram executadas e sem indicativo de problemas.</t>
  </si>
  <si>
    <t>Queda frequente de energia -  rede desta unidade é de Itahum do outro lado do rio, o que foi cogitado nas reuniões foi futuramente uma rede nova que seja do sentido Maracaju aonde fic localizada a propriedade - ASSUNTO SERÁ PROSSEGUIDO COM DIAN DEVIDO JÁ TER CONHECIMENTO DO ASSUNTO.</t>
  </si>
  <si>
    <t>Encabeçamento precisar ser executado, gentileza informar programação.</t>
  </si>
  <si>
    <t>Relocação de posta Obra (9502764950) de 09/04, com a informação que não havia respondido (depois informado que a prefeitura estava sem acesso aos e-mail)
Secretário de Obras reclamou que necessitou de desligamento para atender a obra uma demanda da prefeitura e que não foi atendido. Importante entender detalhadamente o que aconteceu e voltar com o Prefeito para mudar a percepção
Reclamação de poda porém se recolha de galhos por parte da energisa, reclamou da poda radical, que precisamos checar. O Secretário de Obras foi muito resistente, porém o Secretário de Administração se mostrou bem flexível, importante tentar costurar o convênio de podas com esse secretário
Prefeito falou sobre duas árvores de grande porte, frente ao Banco Bradesco que oferece risco a nossa rede. Ficamos de verificar o que pode ser feito da nossa parte e dar retorno
Reclamação de falta de energia no Assentamento Auxiliadora e Rancho Loma</t>
  </si>
  <si>
    <t>DCMD
Prefeito de Iguatemi na reunião falou sobre duas árvores de grande porte, frente ao Banco Bradesco que oferece risco a nossa rede. Ficamos de verificar o que pode ser feito da nossa parte e dar retorno. Foi verificado? Se sim, qual nosso plano de ação?</t>
  </si>
  <si>
    <t>Prefeito Lidio
Jonas
Andre
Paulo
Juliano</t>
  </si>
  <si>
    <t>Monike, gentileza confirmar e garantir que a prefeitura recebeu o orçamento. Finalizado em 12/06 e esta aguardando aprovação do cliente.
Origem: Prefeito de Dourados. Solicitado para agilizar a pedido do Diretor Paulo. Id do projeto: 1847426. Tipo de projeto: subestação atendimento carga. Reapresentação do projeto elétrico para renovação de aprovação ( projeto PE 23867/22 Escola Avani).</t>
  </si>
  <si>
    <t>Gabriella Domingo</t>
  </si>
  <si>
    <t>Agente Giovani, quanto a qualidade sobre o reestabelecimento de energia em tempo hábil precisa de mais informações para análise da área.</t>
  </si>
  <si>
    <t>Deputado Renato Câmara
Giovani Energisa</t>
  </si>
  <si>
    <t>Vereador questionou valor alto em conta de energia solar realacionado à taxa de iluminação pública.</t>
  </si>
  <si>
    <t>Informar/Orientar que taxa de iluminação pública trata se de uma lei municipal. E mesmo cliente injetando não é isento de IP, o valor é cobrado conforme consumo.</t>
  </si>
  <si>
    <t>Câmara Municipal Ponta Porã</t>
  </si>
  <si>
    <t>Solicitou atenão da Energisa quanto ao tempo de reestabelecimento da energia.
Solicitou medição da energia que chega na torre transmissora da rádio de sua propriedade.</t>
  </si>
  <si>
    <t>Agente solicitar unidade consumidora ou uma referência para localizar a unidade reclamada.</t>
  </si>
  <si>
    <t>Enviado ao Agente no whats. Agente solicitar unidade consumidora ou uma referência para localizar a unidade reclamada.</t>
  </si>
  <si>
    <t>Vereador Agnaldo Miudinho
Giovani energisa</t>
  </si>
  <si>
    <t>Fabricio da Silva Almeida</t>
  </si>
  <si>
    <t>Câmara Municipal de Corumbá</t>
  </si>
  <si>
    <t>Manutenção de postes "tombados" em assentamento próximo à Corumbá</t>
  </si>
  <si>
    <t>Manutenção de postes "tombados" em assentamento próximo à Corumbá - Agente Giovani gentileza solicitar uma referência como unidade do local, também nome do assentamento. Adicional se possivel foto e coordenadas do local.</t>
  </si>
  <si>
    <t>Câmara Municipal de Ponta Porã</t>
  </si>
  <si>
    <t>Vereadora solicita podas no assentamento Itamarati e melhoria na qualidade de fornecimento da energia elétrica.</t>
  </si>
  <si>
    <t>Vereadora solicita podas no assentamento Itamarati e melhoria na qualidade de fornecimento da energia elétrica. Vereadora precisa informar unidades dos reclamantes, se possivel foto dos pontos, coordenadas.</t>
  </si>
  <si>
    <t>Vereadora Nathalia
Giovani Energisa
Fabrício Almeida Eneegisa</t>
  </si>
  <si>
    <t>Prefeitura de Paranaíba</t>
  </si>
  <si>
    <t>Prefeitura Municipal de Amambai</t>
  </si>
  <si>
    <t>Recebido pelo whats - Obra era na primeira semana de abril, depois passaram para  15 de abril e depois para 30 de abril Sera que vc consegue antecipar isso?  Eles tem que entregar as casas , ja estao vendidas</t>
  </si>
  <si>
    <t>Verificar conclusão da obra e ligação</t>
  </si>
  <si>
    <t>Prefeitura de Alcinópolis</t>
  </si>
  <si>
    <t>Alcinópolis</t>
  </si>
  <si>
    <t>Obra 0452600083. Agilizar uma obra . Expectativa ate 01/05, solicitado pelo Gestor Availdo</t>
  </si>
  <si>
    <t>Obra 0452600083 concluída em 08/06. Gerado OS nº 540357518 a atendida em 15/06. Gerado UC 3838986.
Obra 0452600083. Agilizar uma obra . Expectativa ate 01/05, solicitado pelo Gestor Availdo</t>
  </si>
  <si>
    <t>Solicitado para agilizar análise do PE 1962226. OS nº 530498622.</t>
  </si>
  <si>
    <t>Marcio Jose Gomes
Danilo Katsomori
Dirceu Deguti Viera Filho
Bruno de Araujo Benites Rosa da EFENG</t>
  </si>
  <si>
    <t>Vereador Clodoilson solicitou apoio para extensão de rede em bairro de Campo Grande. Na ocasião informou que já existem os postes, que faltam somente lançar os cabos e instalar as luminérias nos postes. Comunicamos pra ele que este processo deverá ter início a priori na Secretaria de Obras de Campo Grande. Depois de aprovado o orçamento da concessionária, executamos as instalações.</t>
  </si>
  <si>
    <t>Reunião realizada para orientação que essa solicitação é registrado pela prefeitura. Vereador ficou ciente e esclarecido.</t>
  </si>
  <si>
    <t>Vereador Clodoilson
Giovani Energisa</t>
  </si>
  <si>
    <t>Agenda de Campo - Projeto Integrar</t>
  </si>
  <si>
    <t>Sinalizado alguns empreendimentos novos no município que será lançado como: Loteamento Valdemar Pedro e a Pavimentação da estrada da Ponte Nova.</t>
  </si>
  <si>
    <t>Luis Filipe Swenson Pereira Amado, Anderson Brum Smaniotto</t>
  </si>
  <si>
    <t>Reunião realizada com a prefeitura: Prefeito Cleber, Bruna e Leticia.</t>
  </si>
  <si>
    <t>Checar se estão cadastrados como bacia leiteira</t>
  </si>
  <si>
    <t>Solicitação de prioridade da obra 0202600478 - Afastamento de Rede OS 510099267</t>
  </si>
  <si>
    <t>Origem: Thiago Balbio/Pres. Paulo. Solicitação de prioridade da obra 0202600478 - Afastamento de Rede OS 510099267. Expectativa do cliente:  o quanto antes essas, lançado no priorizador 31/05.</t>
  </si>
  <si>
    <t>OBRA CONCLUIDA 0202600478</t>
  </si>
  <si>
    <t>Origem: Thiago Balbio/Pres. Paulo. Solicitação de prioridade da obra 0202600481- Afastamento de Rede OS 510100341. Expectativa do cliente:  o quanto antes essas, lançado no priorizador 31/05.</t>
  </si>
  <si>
    <t>Origem: Thiago Balbio/Pres. Paulo. Solicitação de prioridade da obra 0202600481- Afastamento de Rede OS 510100341. Expectativa do cliente:  o quanto antes essas, lançado no priorizador 31/05</t>
  </si>
  <si>
    <t>Prefeitura de Jateí</t>
  </si>
  <si>
    <t>Sobrecarga: Alegaram que um dos loteamentos da cidade está com constantes faltas de energia, e que suspeitam de sobrecarga, o bairro se chama PORTAL DO SOL. Explicamos para os presentes que podemos estar tratando de um possível aumento de carga à revelia. Solicitamos para que a câmara nos informes as unidades consumidores para realizarmos uma avaliação completa no local. Citaram que lá existe: Igreja, salão, funilaria, loja de material para construção. As referências elétricas são: TD(748480) // TD(748483) - GDO02</t>
  </si>
  <si>
    <t>Prefeitura e Câmara: Prefeita Cileide, Vice Prefeito Francisco, Vereadora Antônia, Vereador Edson e Outros 4 vereadores</t>
  </si>
  <si>
    <t>Diego Souza Silva, Emerson Seixas Costa, Thiago de Alvarenga Balbio</t>
  </si>
  <si>
    <t>Prefeitura de Deodápolis</t>
  </si>
  <si>
    <t>O conjunto DEODÁPOLIS teve uma melhoria de 16% no DEC global cheio percebido pela população.</t>
  </si>
  <si>
    <t>Prefeitura e Câmara: Prefeito Jean, Assessor Orlindo.</t>
  </si>
  <si>
    <t>Informamos ao Secretário sobre nossa obra prevista no plano de negócios 2026, prevendo a troca do transformador da SE.</t>
  </si>
  <si>
    <t>Reunião realizada pelo Secretário de Obras.</t>
  </si>
  <si>
    <t>Diego Souza Silva, Thiago de Alvarenga Balbio</t>
  </si>
  <si>
    <t>Não houve pendências específicas passadas para nós na reunião, mas foi nos informado a intenção futura de solicitação de demandas de iluminação pública, de pronto respondemos solicitando que nos fosse antecipado o pedido o quanto antes para atendermos a expectativa da Prefeitura.</t>
  </si>
  <si>
    <t>PE 4828224 - Conexão GD UC 3467507. Investimentos de ampliação de potência na subestação. Obra 0102502363. Aprovado pelo cliente 29/04. Pz 365 dias, data limite 29/04/2026. Tem programação da obra?</t>
  </si>
  <si>
    <t>Prefeitura de Nova Alvorada do Sul</t>
  </si>
  <si>
    <t>Reunião Institucional. Reunião realizada na prefeitura de Nova Alvorada do Sul</t>
  </si>
  <si>
    <t>Investimentos de ampliação de potência na subestação.</t>
  </si>
  <si>
    <t>Prefeitura de Inocência</t>
  </si>
  <si>
    <t>Reunião Institucional</t>
  </si>
  <si>
    <t>Indicação de transferência do colaborador Jeferson Paulista de Paranaíba para Inocência</t>
  </si>
  <si>
    <t>Bruna Braga de Queiroz</t>
  </si>
  <si>
    <t>1 - Agilizar PE 9783825. STATUS:CONCLUIDO</t>
  </si>
  <si>
    <t>Com a prefeitura não restou demandas a serem tratadas. As obras mencionadas ja estão sendo tratadas pelo Rafael/novas conexões</t>
  </si>
  <si>
    <t>Prefeito Toninho e Vice prefeito Henrique</t>
  </si>
  <si>
    <t>Solicitado no grupo whats da central do cliente - demandas prioritárias pelo Artur Gandra/ DPRE Paulo Roberto para verificar a falta de água pela falta de energia. Oficio 026/2026 da Câmara Municipal de Amambai para a Sanesul. 
segue atualização deste caso de AMAMBAI:
- 8 Podas;
- Retensionamento de 1 vão;
- 150 metros de limpeza de faixa.
Agendado desligamento programado para execução em 09/06.</t>
  </si>
  <si>
    <t>Solicitado no grupo whats da central do cliente - demandas prioritárias pelo Artur Gandra/ DPRE Paulo Roberto para verificar a falta de água pela falta de energia. Oficio 026/2026 da Câmara Municipal de Amambai para a Sanesul. O Diego sanalizou que será inspecionado hoje 21/05.</t>
  </si>
  <si>
    <t>O vereador foi comunicado que a obra terá um custo para o cliente. Inicialmente eles estavam pedindo a isenção de custos, mas em reunião com o Paulo ficou decidido que haverá sim custos para o cliente.</t>
  </si>
  <si>
    <t>Vereador Neto Santos
Giovani Moura Energisa</t>
  </si>
  <si>
    <t>agilizar OS 877</t>
  </si>
  <si>
    <t>ORÇAMENTO ENVIADO AO CLIENTE DIA 12/06/2026. AGUARDANDO ACEITE</t>
  </si>
  <si>
    <t>Prefeitura de Taquarussu</t>
  </si>
  <si>
    <t>Prefeito informou que tem um bom relacionamento, que sempre está sendo informado sobre as quedas de energia, que muitas vezes ele nem no municipio está, mas é informado e vê que a comunicação está mais fluída. 
Falamos sobre podas no municipio e convenio, sobre palmeiras imperial plantada perto a nossa rede, o qual no final de semana culminou a falta de energia do municpio. 
Ele cometou sobre a extensão de IP e o portal que está fazendo no municipio. E que iria protocolar o pedido de relocação e extensão.</t>
  </si>
  <si>
    <t>Prefeito
Secretário 
Energisa</t>
  </si>
  <si>
    <t>Avanildo do Nascimento Junior</t>
  </si>
  <si>
    <t>Assunto foram obras que ja estão em execução e assuntos diversos( orientação sobre iluminação pública, relocação de rede entre outros) Não havendo demandas a serem tratadas e ou priorizadas pela central.</t>
  </si>
  <si>
    <t>Jane  - secretaria de educação, Vinicius secretaria de obra e Vice prefeito barbosinha</t>
  </si>
  <si>
    <t>Fabricio Andre Silva de Araujo, Maxwell Ferreira Ossuna, Gabriel Yuji Takahashi</t>
  </si>
  <si>
    <t>Câmara de vereadores</t>
  </si>
  <si>
    <t>Visita foi para apresentar novo suervisor e coordenaação de opereração, beem como ouvir o presidente da camara e olher demandas.
Também foi apresentado o supervisor de atendimento Maxwel que falou a respeito das melhorias implantadas em nosso loja de atendimento.
Pela camara municipal não houve demanda que necessitasse de atuação e ou inclusão na central do cliente</t>
  </si>
  <si>
    <t>Visita foi para apresentar novo supervisor e coordenação de operação, bem como ouvir o presidente da câmara e colher demandas.
Também foi apresentado o supervisor de atendimento Maxwel que falou a respeito das melhorias implantadas em nosso loja de atendimento.
Pela camara municipal não houve demanda que necessitasse de atuação e ou inclusão na central do cliente</t>
  </si>
  <si>
    <t>presidente da cama, Vereador Heberson Galter Custódio</t>
  </si>
  <si>
    <t>Fabricio Cerchiari da Silva, Maxwell Ferreira Ossuna, Gabriel Yuji Takahashi</t>
  </si>
  <si>
    <t>Aral Moreira</t>
  </si>
  <si>
    <t>Visita ao Gabinete do Vereador para atendimento de demandas rotineiras oriundas de seu gabinete.</t>
  </si>
  <si>
    <t>Visita ao Gabinete do Vereador para atendimento de demandas rotineiras oriundas de seu gabinete. (Visita de Cortesia)</t>
  </si>
  <si>
    <t>Vereador Carlão
Assessora Ilma
Giovani Moura</t>
  </si>
  <si>
    <t>Atendimento ao gabinete do vereador para trataivas das demandas solicitadas.</t>
  </si>
  <si>
    <t>Atendimento ao gabinete do vereador para trataivas das demandas solicitadas. Visita de cortesia</t>
  </si>
  <si>
    <t>Vereador Rafael Tavares
Assessoria do gabinete
Giovani Moura</t>
  </si>
  <si>
    <t>Visita ao gabinete do Vereador para atendimento de demandas solicitadas junto à Concessionária</t>
  </si>
  <si>
    <t>Visita de Cortesia. Visita ao gabinete do Vereador para atendimento de demandas solicitadas junto à Concessionária</t>
  </si>
  <si>
    <t>Vereador marquinhos Trad</t>
  </si>
  <si>
    <t>Vereadores pedem apoio com a obra para atendimento ao aumento de carga da UC 2486949, horta hidropônica de grande porte da região.
apresentado o Ofício 094/2026</t>
  </si>
  <si>
    <t>Vereador Darci Jose da Silva
Vereador Jota Roberto
Vereador Suzana Ulisses
Joao Pedro (Projetista)
Vandereli Oliveira Domingos (Cliente</t>
  </si>
  <si>
    <t>AMBIENTAL MS PANTANAL SPE S/A</t>
  </si>
  <si>
    <t>Prefeito solicita agilizar obra de estação elevatória de esgoto em Itaquirai.
OS  526116221
Obra 0502600350</t>
  </si>
  <si>
    <t>Duplicidade de ID - esta em tratativa pelo ID 633
Prefeito solicita agilizar obra de estação elevatória de esgoto em Itaquirai.
OS  526116221
Obra 0502600350</t>
  </si>
  <si>
    <t>Thalles Tomazelli</t>
  </si>
  <si>
    <t>Reunião realizada com o Secretário Municipal de Governo e Relações Institucionais, abordando sobre os débitos da SESAU, sobre a necessidade de alteração da LEI da COSIP para prever o Encontro de Contas, definição de ponto focal para os assuntos da secretária de educação para os pedidos de aumento de carga e a liberação/autorização para ligação do painel de LED no espaço Energia.</t>
  </si>
  <si>
    <t>Informação. Reunião realizada com o Secretário Municipal de Governo e Relações Institucionais, abordando sobre os débitos da SESAU, sobre a necessidade de alteração da LEI da COSIP para prever o Encontro de Contas, definição de ponto focal para os assuntos da secretária de educação para os pedidos de aumento de carga e a liberação/autorização para ligação do painel de LED no espaço Energia.</t>
  </si>
  <si>
    <t>Informação. Card já finalizado em data anterior.</t>
  </si>
  <si>
    <t>Ulisses da Silva Rocha
Willian Maksuda
Paulo Roberto (DPRE)</t>
  </si>
  <si>
    <t>Câmara Municipal de Coronel Sapucaia</t>
  </si>
  <si>
    <t>Coronel Sapucaia</t>
  </si>
  <si>
    <t>Na reunião foi apresentado os ofícios CM nº 5/2026, 25/2026, 26/2026, 21/2026 (protocolo 9504603188) 20/2026 (protocolo 9504605976)</t>
  </si>
  <si>
    <t>26/2026, 21/2026 (protocolo 9504603188) 20/2026 (protocolo 9504605976)</t>
  </si>
  <si>
    <t>Of 26/2026 respondido conforme CT-CGCP-PP 500/2026. Of 21/2026 atendido conforme OS 525040957 (gerado obra 0402600291, orçamento enviado ao cliente). E o OF. 20/2026 atendido conforme OS 525029584 (gerado obra 0402600290, orçamento enviado ao cliente).</t>
  </si>
  <si>
    <t>Maria Eloir Flores Rodrigues
Fernando Rolon Marinho
Célia Cristina Arias Davalos</t>
  </si>
  <si>
    <t>Na reunião foi apresentado os ofícios CM nº 5/2026, 25/2026</t>
  </si>
  <si>
    <t>Obra de atendimento ao loteamento – PE 0810626; Gerado a OS 540343070 de orçamento, gentileza priorizar.</t>
  </si>
  <si>
    <t>SEM NECESSIDADE DE OBRA.</t>
  </si>
  <si>
    <t>Joanilson Zeferino dos Santos - Secretário de Obras e Urbanismo
Eduardo Esgaib Campos - Prefeito
Wilian Maksud</t>
  </si>
  <si>
    <t>Solicita agilizar obra de atendimento a estação elevatória de esgoto, considerando necessidade de inauguração em 20/07/26;
Expectativa da obra: 16/07/26. Lançado no priorizador de obras.</t>
  </si>
  <si>
    <t>obra concluida 09/07</t>
  </si>
  <si>
    <t>Thalles Tomazelli - Prefeito</t>
  </si>
  <si>
    <t>Solicita agilizar contrato solicitado em 05/06. para atender PE 19490/26 COOPERSCHUTZ COOPERATIVA AGROINDUSTRIAL  com transformador de 500 kVA.
Gentileza agilizar a OS 539181731 de Orçamento para elaboração do contrato.</t>
  </si>
  <si>
    <t>SEM NECESSIDADE DE OBRA - 296 IMPEDIDA E 628 GERADA (PONTO IMPORTANTE PE DO CLIENTE AINDA NÃO FOI COMISSIONADO)</t>
  </si>
  <si>
    <t>Dep. Vander Loubet</t>
  </si>
  <si>
    <t>Reunião realizada com o Danilo referente os pagamento das faturas de energia elétrica dos meses de 04/2026 e 05/2026. Danilo, informou sobre o cenário financeiro da Secretaria e solicitou apoio com alternativas para redução de custos.
Saídas:
Apresentar proposta de parcelamento
Enviar relação de unidade consumidoras com o DE/PARA das unidades e UC ANEEL
Elaborar análise de assinatura solar
Analisar as unidades atendidas em Grupo A (Ultrapassagens/Reativo)
Enviar relação de unidades para analisar a divisão das datas de vencimento (10 e 21)</t>
  </si>
  <si>
    <t>Informação.</t>
  </si>
  <si>
    <t>Informação. CARD fechado sem abertura de ação.</t>
  </si>
  <si>
    <t>Danilo de Souza Vasconcelos - Superintendência de Finanças Saúde</t>
  </si>
  <si>
    <t>Cliente com grande influência institucional - Raul (Ministério da Agricultura) problemas constantes de falta de energia.</t>
  </si>
  <si>
    <t>Caso ja foi tratado no plano de manutenção, em analise a performance do circuito, percebemos melhoria significativa sendo a ultima interrupção com data de 27/04.</t>
  </si>
  <si>
    <t>Origem: Flavia Comunicação/DPRes Paulo.
Contato realizado com Sra Eliza, cunhada da Dona da Record. A mesma reclama da qualidade de fornecimento, frequentemente estão ficando sem energia se for necessário eles arcam com o custo, mas precisam urgentemente a manutenção na rede. E reclama também na demora no atendimento.
UC 1663287</t>
  </si>
  <si>
    <t>Gentileza realizar estudo completo.
Origem: Flavia Comunicação/DPRes Paulo.
Contato realizado com Sra Eliza, cunhada da Dona da Record. A mesma reclama da qualidade de fornecimento, frequentemente estão ficando sem energia se for necessário eles arcam com o custo, mas precisam urgentemente a manutenção na rede. E reclama também na demora no atendimento.
UC 1663287</t>
  </si>
  <si>
    <t>Reunião institucional realizada para alinhamento dos canais de comunicação entre as partes.
Também foram tratados os pedidos de aumento de carga, questões relacionadas à qualidade da energia e o compartilhamento de dados das unidades do UP (gerador).</t>
  </si>
  <si>
    <t>Informação. Card já encerrado sem abertura de ação.</t>
  </si>
  <si>
    <t>Marcelo Luiz Brandão Vilela - Secretário
Marcos Chaves - Superintendente de Apoio Operacional
Lucimara Martins Superintendente da Atenção Primária
Flávio - Gabinete
William Maksoud</t>
  </si>
  <si>
    <t>Cliente Mauro Cristianini, Manutenção de rede/Verificação de Tensão. Cliente reclama da qualidade de fornecimento e solicita verificação das condições dos cabos.</t>
  </si>
  <si>
    <t>Cliente Mauro Cristianini, Manutenção de rede/Verificação de Tensão. Cliente reclama da qualidade de fornecimento e solicita verificação das condições dos cabos. DIRETOR: Enviar para o Dir. Paulo, pois irá verificar a obra da subestação para realizar essa manutenção. TD 15494. Ações em andamento: 04/05: DCMD: Ramal do cliente foi construído um novo e foi instalado um religador na derivação do cliente que esta em etapa de comissionamento, não está funcionando por conta da master. 
16/06: confirmar se a master esta funcionando</t>
  </si>
  <si>
    <t>Obra 0202501568 PE 5038424 - liberado a ligação nº 545701569.</t>
  </si>
  <si>
    <t>Thamara Araujo Canteiro Collombelli</t>
  </si>
  <si>
    <t>Na reunião foi solicitado para verificar status das OS's 404334032/479029052/476193533/481969537 e informação sobre o programa eficiência energética.
Retorno ao cliente: informado os status das OS's para o Sr. Valter no Whats e também sobre o programa eficiência energética, pois no momento não possui processo de Chamada Pública em aberto. A próxima chamada pública está prevista para o final desse ano.</t>
  </si>
  <si>
    <t>Tratado pela central do cliente</t>
  </si>
  <si>
    <t>Walter Ottano</t>
  </si>
  <si>
    <t>Danila Hertal Moreira Souza, Giovani Moura da Costa</t>
  </si>
  <si>
    <t>Prefeitura de Anastacio</t>
  </si>
  <si>
    <t>Na reunião prefeitura foi orientada quanto a necessidade de antecipar seus pedido de ligação e obras, tendo em vista os prazos regulatoria para as execuções</t>
  </si>
  <si>
    <t>Sem ação. Reunião orientação.</t>
  </si>
  <si>
    <t>Secretaria de Planejamento  - Adriana e Secretário de finanças Ademir</t>
  </si>
  <si>
    <t>Sandro Adalberto Bagui, Anderson Brum Smaniotto</t>
  </si>
  <si>
    <t>AGILIZAR O ORÇAMENTO DO PE 92725 - TRATA-SE OBRA PRA ATENDER MEDIÇÃO AGRUPADA. EXPECTATIVA DO CLIENTE É TER A CONEXAO ATÉ FINAL DE JULHO DE 2026.</t>
  </si>
  <si>
    <t>0202601056 ORÇAMENTO ENVIADO PARA O CLIENTE NO DIA 13/07/2026 - AGUARDANDO ACEITE</t>
  </si>
  <si>
    <t>AGILIZAR ORÇAMENTO DO PE 94225 OS nº 545523436 - TRATA-SE DE MEDIÇÃO AGRUPADA, EXPECITATIVA DE CONEXAO É FINAL DE JULHO DE 2026</t>
  </si>
  <si>
    <t>OBRA 0202601166 LIBERDA PARA CONSTRUÇÃO 24/07/2026</t>
  </si>
  <si>
    <t>Trata-se de prioridade da Diretoria</t>
  </si>
  <si>
    <t>Prefeitura de Aquidauana</t>
  </si>
  <si>
    <t>Vice prefeito Murilo focou muito na questão de expansão da iluminação pública e nos prazos de obras novas.
Foi devidamente orientado quanto aos prazos regulatorios, bem como da ecessidade de se antecipar as solicitaçoes.</t>
  </si>
  <si>
    <t>Sem ação. Reunião orientativa.</t>
  </si>
  <si>
    <t>Vice prefeito Murilo</t>
  </si>
  <si>
    <t>Reunião realizada no bloco 1 sobre a solicitação de revisão e ampliação da capacidade de carga e estabilização da rede elétrica no município de Jaraguari.</t>
  </si>
  <si>
    <t>Reunião realizada no bloco 1 sobre a solicitação de revisão e ampliação da capacidade de carga e estabilização da rede elétrica no município de Jaraguari. Ofício entregue em mãos a coord. Aline Mesquita.</t>
  </si>
  <si>
    <t>Lucas Tonet
Jean Phierre Vargas</t>
  </si>
  <si>
    <t>Felipe conforme encaminhado no teams e no whats, verifica com urgencia por gentileza a programação dessa obra. Limite do prazo 06/07.</t>
  </si>
  <si>
    <t>Verificar o processo de ligação junto a área responsável</t>
  </si>
  <si>
    <t>Marcelly, gentileza verificar se há alguma pendência quanto a DESC para a ligação desse cliente. Referente a obra já foi solicitado para agilizar e tem comissionamento OS nº 546294177 aprovado.</t>
  </si>
  <si>
    <t>- Ligação concluída ontem dia 30/06; 
- Ressalva em campo: Unidade B ficou ligada em campo, necessário conclusão de transferência de carga para encerrarmos a unidade.</t>
  </si>
  <si>
    <t>Maurício Botelho</t>
  </si>
  <si>
    <t>Gentileza, priorizar programação dessa. Prioridade máxima conforme sinzalido pelo gerente do DESC.
[15:00, 26/06/2026] Guilherme Parana: Maurício Botelho 
[15:00, 26/06/2026] Guilherme Parana: Pessoal, prioridade máxima pra agilizar esse processo pfv</t>
  </si>
  <si>
    <t>Costa Rica</t>
  </si>
  <si>
    <t>Negociação da divida correspondente a recontagem a iluminação pública. Agente Availdo foi efetivado a negociação? Qual a referência desse cliente (UC)?</t>
  </si>
  <si>
    <t>Secretrio Guilherme Diniz</t>
  </si>
  <si>
    <t>Availdo Taveira de Oliveira, Marlon Nogueira Maia</t>
  </si>
  <si>
    <t>Solicitado prioridade a pedido do Diretor Paulo, pois veio do prefeito de Dourados e trata de uma escola. Solicitado para agilizar análise do PE nº 1847426 OS nº 528069045.</t>
  </si>
  <si>
    <t>Gentileza verificar como esta a questão de programação de poda no município de Sidrolândia.</t>
  </si>
  <si>
    <t>Vereador solicitou revisão no sistema elétrico nos bairros Novo Horizonte e Altos do Indaiá em Dourados. Protocolo 9500628194.</t>
  </si>
  <si>
    <t>Gentileza verificar os bairros relatados pelo vereador. Na reunião em campo o Agente de relacionamento Giovani coletou o protocolo 9500628194 UC 3742758.</t>
  </si>
  <si>
    <t>Vereador Sargento Prates
Giovani energisa</t>
  </si>
  <si>
    <t>Sobrecarga: Alegaram que um dos loteamentos da cidade está com constantes faltas de energia, e que suspeitam de sobrecarga, o bairro se chama PORTAL DO SOL. Explicamos para os presentes que podemos estar tratando de um possível aumento de carga a revelia. Solicitamos para que a câmara nos passe as UC´s para realizarmos uma avaliação completa no local.Citaram que lá existe: Igreja, salão, funilaria, loja de material para construção.
As referências elétricas são: TD(748480) // TD(748483) // TD (705324) // TD (705323) // TD (9631) - GDO02
Falta de energia: Gleba Nova Esperança: Alegam constantes interrupções nesta região, alegam que lá existe uma escola com mais de 200 alunos e que vem sofrendo com constantes quedas de energia.  As referências elétricas são: TD(35070) // TD (34501) // TD (719015) – NHS 01.
 Manutenção: Informaram que existe uma demanda para troca de postes de madeira de eucalipto. Informações que iriamos checar o status dessa demanda e dar uma devolutiva.</t>
  </si>
  <si>
    <t>Dian, gentileza confirmar com a prefeitura se receberam o orçamento. E garantir estão ciente que devem solicitar o orçamento do ponto de entrega para conexão do empreendimento, pois até o momento não tem essa solicitação registrada.</t>
  </si>
  <si>
    <t>Ativar o RD recém instalado: RD58497164.</t>
  </si>
  <si>
    <t>Prefeito pediu uma atenção especial para um assentamento que fica no município de Caarapó, porém pela proximidade com Vicentina os moradores vão até o município para solicitar melhorias, são produtores de leite. ASSENTAMENTO NOSSA SRA. DO CARMO - 41 Assentados. Manutenção de rede. Verificar reincidência de abertura e inserir num acompanhamento específico. Referências elétricas: FU(963) FU(38390) - VIC02</t>
  </si>
  <si>
    <t>1 - Falta de energia: Gleba Nova Esperança: Alegam constantes interrupções nesta região, alegam que lá existe uma escola com mais de 200 alunos e que vem sofrendo com constantes quedas de energia. Informaram que existe uma demanda para troca de postes de madeira de eucalipto. Informações que iriamos checar o status dessa demanda e dar uma devolutiva. SENDO TRATADO NO CARD 186.
2 - Nível de tensão: Recebemos muitas reclamações dos vereadores de oscilações de energia ao longo do período diurno. PENDENTE
3 -</t>
  </si>
  <si>
    <t>1 - Prefeita informou que a maior festa da cidade é a festa da fogueira, e será em 2026 em 29/06. INFORMAÇÃO
2 - Hotel na frente da praça: Prefeita citou que esse hotel é do mesmo dono do restaurante, a solicitação está no nome do solicitante: Edson Alves dos Santos (67 99698-3121). Prefeita pediu para agilizar esse pedido. PENDENTE
3 - A unidade consumidora do restaurante (mesmo dono), alega estar com problemas de tensão, iremos checar para ver se temos histórico deste pedido. Edson Alves dos Santos (67 99698-3121). PENDENTE
4 - A Prefeita solicita a alteração dos nomes das unidades consumidoras da Prefeitura, de forma a facilitar a gestão do município na hora de pagar as despesas, uma vez que atualmente a descrição das unidades da Prefeitura não discriminam qual é o local (Posto de Saúde, Creche, Escola, Prefeitura). SENDO TRATADO NO CARD 186
5 - Atendimento: Reclamaram muito da GISA e do CallBack realizado pela Energisa, citaram muita dificuldade em serem atendidos pelos canais digitais. (PENDENTE)
6 - Prefeita citou sobre a comissão da Assomasul (Associação dos Municípios de Mato Grosso do Sul), onde percebe que estão sendo tratados muitos assuntos que envolvem a Energisa. INFORMAÇÃO
7 - usina solar construída pela Prefeitura. SENDO TRATADO NO CARD 186
8 - A Prefeita trouxe para discussão a COSIP e a taxa de iluminação pública. Ela até citou que desejava utilizar os créditos de sua usina solar para abater a Cosip, mas de qualquer forma caso essa ideia não seja viável, deseja ver uma forma de isentar as famílias de baixa rende de pagar a taxa, e segundo e vereador Edson, já existe uma lei municipal prevendo essa possibilidade. 	
Monike explicou que existe uma Portaria que ampara esse assunto, a se comprometeu a compartilhar com a Prefeitura. SENDO TRATADO NO CARD 186
9 - Sobre a carreta "Nossa Energia" da Eficiência Energética. Prefeita demonstrou interesse, solicitei para que ela sugerisse uma data para a realização de uma ação na cidade. (11 de novembro é o aniversário da cidade). Dia da Mulher: Em razão do município de Jateí. INFORMAÇÃO</t>
  </si>
  <si>
    <t>Atendimento: O Prefeito alegou dificuldades com o formato atual de atendimento na cidade, que é realizado dentro do Supermercado Macaúba em um Tóten com o auxílio de uma colaboradora do próprio mercado. 
Ele nos informou que está abrindo uma central de atendimento ao cidadão, e ofereceu um dos postos, inclusive com mão de obra, para a agência a alocação de 1 tóten da Energisa. Essa central de atendimento estará pronta no segundo semestre.</t>
  </si>
  <si>
    <t>Wesley Ricardo Santana Cosim</t>
  </si>
  <si>
    <t>1 - Creche João Pedro Pelegrini - Esta unidade ocupa atualmente 1/2 quarteirão, e segundo o Prefeito irão construir um Posto de Saúde. Eles alegam que atualmente o circuito já está apresentando constantes interrupções, e que na visão deles seria por problemas de sobrecarga.  
Definimos que a Prefeitura nos enviaria a carga atual da creche, e faremos uma análise com medição e levantamento em campo para identificação do atual problema. Neste levantamento já podemos checar qual será a melhor forma de atender a futura carga do posto de saúde que ficará nesta quadra. PENDENTE
2 - Alegaram que o prédio da Prefeitura também está com problemas de sobrecarga, geralmente percebido quando se liga o ar-condicionado. Com base na descrição do Sr. Orlindo, fica evidente se tratar de problema interno, pois ele cita que o disjuntor deles abre com frequência.  Solicitamos para que eles mapeiem a carga declarada da Prefeitura, e enviem para a Energisa avaliar a necessidade de melhoria na rede. Porém ficou esclarecido que não temos problemas em nossa rede.  PENDENTE
3 - Débito de IP: 	O Prefeito e Assessor citaram sobre o "susto" que levaram após a comunicação da Energisa a respeito da cobrança de pontos de iluminação pública que não foram informados pela Prefeitura, e consequentemente não estavam cadastrados em nosso sistema. Eles citaram que não querem passar pelo mesmo problema e pediram nossa ajuda para apontar os locais onde estão fazendo a troca das lâmpadas. Informamos que esse levantamento não é de responsabilidade da Energisa, e que a própria Prefeitura deve realizar o levantamento e encaminhar para atualização da Energisa.  
Definimos que será agendada uma reunião com o técnico da Prefeitura para ensinarmos para ele como fazer o levantamento. (Diego Galego). PENDENTE
4 - Polo industrial: O Prefeito citou que estão criando um Pólo Industrial na cidade, e já possuem uma ideia do perfil de carga de quem irá se instalar por lá. 	Informamos da importância da Prefeitura levantar a carga declarada para que a Energisa faça uma avaliação geral de demanda. Além disto, cada solicitante deverá entrar com seu pedido separadamente, gerando um processo de ligação para cada empresa instalada. PENDENTE
5 - Perguntaram da possiblidade de instalarmos mais lâmpadas de LED na cidade. Respondemos que esse processo é feito dentro das chamadas públicas de eficiência energética da ANEEL, e que para a Prefeitura necessita se inscrever na próxima janela que acontecerá no mês de setembro. INFORMAÇÃO
6 - Projeto Pontos Cegos (Iluminação Pública). Solicitaram recálculo dos orçamentos de rede (só não pagaram ano passado pois estavam com poucos recursos em caixa). 
Pediram priorização das obras. Como elas ainda nem foram pagas, será necessária chegar uma ordem de priorização de desejo para a Prefeitura. (Levantar a relação de obras). PENDENTE
7 - Usina solar - ID 8453625 - Jean Carlos Silva Gomes. Prefeito cita que está tendo problemas para se fazer a injeção de potência e coletar os ganhos de sua GD, que pretende alugar para um Supermercado. 			§ Identificamos que o problema nasceu por uma falta de seu projetista que não informou UC em seu projeto, e da Energisa de não devolver para que o cliente fizesse a correção. PENDENTE</t>
  </si>
  <si>
    <t>Obra: 010-25-02363 conclusão física.
Por favor, verificar possibilidade de solicitar agilização no atendimento das ordens de serviço 554055369 (vistoriar padrão GA) e 554055365 (Ligação Nova com Instalação de Medidor GA).</t>
  </si>
  <si>
    <t>Podas de árvores no trecho da BR 163 localizada entre Nova Alvorada do Sul e a Ponte seca.</t>
  </si>
  <si>
    <t>1 - Religamentos no município todo dia das 18 as 20hrs. STATUS: PENDENTE
2 - Quedas de energia na R: Pernambuco em frente ao Mercado M &amp; M, casa da vereadora Joceana. STATUS: PENDENTE
3 - Manutenção na rede que atende a UC 2496509. STATUS:
4 - Fabrica de gelo com oscilação e queima de equipamentos, trecho TD 734803.</t>
  </si>
  <si>
    <t>Reunião na prefeitura de Terenos.</t>
  </si>
  <si>
    <t>1 - Faltas de Energia frequentes no Jd. América
2 - Oscilações e necessidade de aumento de carga no Assentamento Sta Mônica TD(24405) ENTF567312
3 - Oscilações e faltas de Energia no Assentamento 7 de Setembro e Ouro Branc</t>
  </si>
  <si>
    <t>Ligação Grupo A.
Identificado que a obra 0102601081 está concluída.
Por favor verificar possibilidade de solicitar agilidade no atendimento das ordens de serviço 555612698 e 555612712 - vistoria e ligação Grupo A.</t>
  </si>
  <si>
    <t xml:space="preserve"> manutenção da rede de energia elétrica, bem como a substituição do transformador da linha de transmissão localizada na Fazenda Palmeiras, Indubrasil, Vila Entrocamento, Campo Grande/MS (UC10/1543-8).</t>
  </si>
  <si>
    <t>Origem: Dian Cleiton.
Anexado apresentação das demandas realizada na visita junto a prefeita e o Dian Cleiton,
Em resumo das demandas em anexo são:
Qualidade - Sobrecarga Bairro Portal do Sol, nas referências elétricas TD 748480/748483/705324/705323/9631 - GD002.
Falta de energia: Gleba Nova Esperança e tem uma escola com mais de 200 alunos. Referência elétricas: TD 35070/34501/719015/ NHS01.
Manutenção: informaram que existe uma demanda para troca de postes de madeira de eucalipto. Foi informado a prefeitura que seria checado e seria dado uma devolutiva.
Não contém anexos.
Diagnóstico Qualidade (DEOP/DCMD)</t>
  </si>
  <si>
    <t>Prefeita de Jateí</t>
  </si>
  <si>
    <t>Prefeito solicitou a retirada de postes que estão fora do projeto de execução do calçamento em área urbana de Ribas do Rio Pardo. Giovai qual o protocolo? ou ordem de serviço? ou ofício para que possamos identificar a solicitação? Ação foi devolvida, gentileza informar o motivo para que a central realiza as ações devidas.</t>
  </si>
  <si>
    <t>Foi realizada reunião presencial na Energisa com o Vereador Xande, com o objetivo de estreitar o relacionamento institucional e ouvir as principais demandas da população relacionadas aos serviços prestados pela concessionária.
Durante o encontro, o vereador relatou reclamações referentes ao atendimento realizado por meio do Totem de Autoatendimento. Segundo informado, os clientes enfrentam desconforto durante o período de espera, uma vez que o local não dispõe de estrutura adequada para acolhimento, incluindo climatização. Também foi mencionado que o suporte presencial de um atendente ocorre apenas no período da tarde e que a incidência direta de sol no local contribui para condições inadequadas de atendimento.
O vereador também destacou a situação do Assentamento Barra do Itá, localizado a aproximadamente 30 km do município, onde moradores relatam problemas relacionados à qualidade do fornecimento de energia elétrica. Foi mencionada a necessidade de avaliação das condições da rede e da execução de serviços de poda da vegetação próxima às instalações elétricas.
Como encaminhamentos da reunião, foram definidas as seguintes ações:
• Solicitar inspeção técnica no Assentamento Barra do Itá para avaliação das condições da rede elétrica e identificação de eventuais necessidades de manutenção e poda;
• Solicitar esclarecimentos à área responsável pelo atendimento comercial quanto à estrutura, condições de atendimento e suporte disponibilizado no Ponto Parceiro.</t>
  </si>
  <si>
    <t>Foi realizada reunião presencial na Energisa com o Vereador Xande, com o objetivo de estreitar o relacionamento institucional e ouvir as principais demandas da população relacionadas aos serviços prestados pela concessionária.
Durante o encontro, o vereador relatou reclamações referentes ao atendimento realizado por meio do Totem de Autoatendimento. Segundo informado, os clientes enfrentam desconforto durante o período de espera, uma vez que o local não dispõe de estrutura adequada para acolhimento, incluindo climatização. Também foi mencionado que o suporte presencial de um atendente ocorre apenas no período da tarde e que a incidência direta de sol no local contribui para condições inadequadas de atendimento.
O vereador também destacou a situação do Assentamento Barra do Itá, localizado a aproximadamente 30 km do município, onde moradores relatam problemas relacionados à qualidade do fornecimento de energia elétrica. Foi mencionada a necessidade de avaliação das condições da rede e da execução de serviços de poda da vegetação próxima às instalações elétricas.
Ação Atendimento
• Solicitamos esclarecimentos à área responsável pelo atendimento comercial quanto à estrutura, condições de atendimento e suporte disponibilizado no Ponto Parceiro.</t>
  </si>
  <si>
    <t>Luiz Alexandre Palmieri, conhecido como Xande
Willian Maksud
Paulo Roberto (DPRE)</t>
  </si>
  <si>
    <t>Foi realizada reunião presencial na Energisa com o Vereador, ocasião em que foram apresentados os principais resultados e indicadores operacionais da região de Ponta Porã, bem como o plano de manutenção da distribuidora, os investimentos realizados e previstos, as ações recentes de poda e manutenção executadas em 28 bairros do município e o plano de contingência adotado pela concessionária.
Durante o encontro, o vereador relatou demandas apresentadas por moradores do Assentamento Itamarati e do Residencial Kamel Saad, especialmente relacionadas ao valor das faturas de energia elétrica. Em resposta, foi esclarecido que consumidores que atendam aos critérios estabelecidos pelo Governo Federal podem ser beneficiados pelo Programa Tarifa Social de Energia Elétrica. Nesse sentido, foi reforçada a importância da atualização cadastral junto ao CRAS para manutenção e acesso ao benefício.
Também foi abordada a necessidade de intensificar as ações de poda e manejo da vegetação, destacando-se a importância da parceria entre a Energisa e o Poder Público Municipal para a execução dessas atividades de forma coordenada.
Adicionalmente, foram reforçados os canais de comunicação e relacionamento da empresa, bem como a disponibilidade da Energisa para analisar e tratar demandas específicas relacionadas às localidades mencionadas.
Como encaminhamentos da reunião, ficaram definidos os seguintes pontos:
• Agendar reunião presencial na Câmara Municipal para apresentação do Supervisor Regional, do Coordenador responsável pela área e do Agente de Relacionamento Institucional;
• Avaliar e programar a realização de ação com o Caminhão da Eficiência Energética no Assentamento Itamarati e no Residencial Kamel Saad, contemplando atividades de cadastro e atualização da Tarifa Social, negociação de débitos, orientações sobre consumo consciente de energia e sorteio de geladeiras para consumidores elegíveis.</t>
  </si>
  <si>
    <t>Carlos Bordão, 1º Vice-Presidente</t>
  </si>
  <si>
    <t>Guilherme Antonio Schio Parana, Dian Cleiton de Brito, Giovani Moura Sousa</t>
  </si>
  <si>
    <t>Solicita agilizar obra de atendimento a estação elevatória de esgoto, considerando necessidade de inauguração em 20/07/26.
DCMD - respondida em 11/07/2026 - Obra 0502600350 (construção - conclusão física) em 09/07/2026.</t>
  </si>
  <si>
    <t>Orçamento enviado e aprovado pelo cliente.
Por favor verificar possibilidade de agilizar atendimento da Obra 020-26-01135.</t>
  </si>
  <si>
    <t>Itahum Export Comercio de Cereais Ltda</t>
  </si>
  <si>
    <t>Nome do Solicitante: Gabriel da Silva Mendonça
Cliente Miguela Luiza Rufino dos Santos Barcelos Manna publicou uma reclamação publica, reclama de constantes quedas de energia na UC 10/3456606-7 no endereço: Rua Heitor Laburu nº 200 bairro: Jardim Itatiaia região urbana. Segue anexo.
Diagnóstico Qualidade.</t>
  </si>
  <si>
    <t>Origem: Flavia Comunicação/DPRes Paulo.
Contato realizado com Sra Eliza, cunhada da Dona da Record. A mesma reclama da qualidade de fornecimento, frequentemente estão ficando sem energia se for necessário eles arcam com o custo, mas precisam urgentemente a manutenção na rede. E reclama também na demora no atendimento.
UC 1663287.
 DEOP: Análise realizada em 25/06/2026 - Identificado oportunidade de atuação no bloco ofensor FU(10625) SET02, atende 3 clientes e possui registro de 5 interrupções esse ano.</t>
  </si>
  <si>
    <t>Cliente Mauro Cristianini, Manutenção de rede/Verificação de Tensão. Cliente reclama da qualidade de fornecimento e solicita verificação das condições dos cabos. DIRETOR: Enviar para o Dir. Paulo, pois irá verificar a obra da subestação para realizar essa manutenção. TD 15494. Ações em andamento: 04/05: DCMD: Ramal do cliente foi construído um novo e foi instalado um religador na derivação do cliente que esta em etapa de comissionamento, não está funcionando por conta da master. 
16/06: confirmar se a master esta funcionando.
DCMD (09/07/2026) - Transferir para o Time do DEMT - Trata-se de confirmar se a master esta funcionando.</t>
  </si>
  <si>
    <t>Klariman Yasmin da Silva Pereira</t>
  </si>
  <si>
    <t>Prefeitura de Iguatemi</t>
  </si>
  <si>
    <t>DESC - Verificar se cliente entrou com nova solicitação.
Relocação de posta Obra (9502764950) de 09/04, com a informação que não havia respondido (depois informado que a prefeitura estava sem acesso aos e-mail;(Solicitação com pendência e respondida por e-mail: Formalizar solicitação via oficio e preencher integralmente o formulário em anexo)
DESC - Foi verificado a jornada desse cliente? 
Secretário de Obras reclamou que necessitou de desligamento para atender a obra uma demanda da prefeitura e que não foi atendido. Importante entender detalhadamente o que aconteceu e voltar com o Prefeito para mudar a percepção;
DESC - Quais os pontos da poda radical? Precisamos de referência para que a área verifique.
Reclamação de poda porém se recolha de galhos por parte da energisa, reclamou da poda radical, que precisamos checar. O Secretário de Obras foi muito resistente, porém o Secretário de Administração se mostrou bem flexível, importante tentar costurar o convênio de podas com esse secretário
DESC - quais as unidades ou protocolos? Precisamos de referência para que a área verifique.
Reclamação de falta de energia no Assentamento Auxiliadora e Rancho Loma</t>
  </si>
  <si>
    <t>Prefeito solicita garantir ligação provisória para a festa municipal. 
Protocolo 181698754
Prefeito informa que as pendencias alegadas, foram quitadas.</t>
  </si>
  <si>
    <t>Prefeito solicita garantir ligação provisória para a festa municipal. 
Protocolo 181698754
Prefeito informa que as pendencias alegadas, foram quitadas.
Availdo, prefeito ligou para o Dian e disse que já cancelamos vários protocolos por pendencia financeira. De acordo com ele foram quitadas. precisa que seja garantida a ligação de festividade para a festa do sereno na próxima semana.</t>
  </si>
  <si>
    <t>Germino Roz - Prefeito Municipal</t>
  </si>
  <si>
    <t>DIRETORIA SOLICITOU PRIORIDADE NA EXECUÇÃO DESSA OBRA, EXPECITATIVA É 15/07/2026.
DCMD - respondida em 11/07/2026 - Obra 0502600350 (construção - conclusão física) em 09/07/2026.</t>
  </si>
  <si>
    <t>Agente Availdo, gentileza informar referência das unidades reclamadas.</t>
  </si>
  <si>
    <t>Prefeito Wladimir</t>
  </si>
  <si>
    <t>Rótulos de Linha</t>
  </si>
  <si>
    <t>Total Geral</t>
  </si>
  <si>
    <t>Contagem de Tipologia</t>
  </si>
  <si>
    <t>Rótulos de Coluna</t>
  </si>
  <si>
    <t>Contagem de Status_Acao</t>
  </si>
  <si>
    <t>Concluídas</t>
  </si>
  <si>
    <t>Backlog</t>
  </si>
  <si>
    <t>Dentro da Expectativa</t>
  </si>
  <si>
    <t>Backlog
(Não iniciada)</t>
  </si>
  <si>
    <t>Expectativa</t>
  </si>
  <si>
    <t>Dentro</t>
  </si>
  <si>
    <t>Fora</t>
  </si>
  <si>
    <t>Risco</t>
  </si>
  <si>
    <t>Não risco</t>
  </si>
  <si>
    <t>(Tudo)</t>
  </si>
  <si>
    <t>(Vários itens)</t>
  </si>
  <si>
    <t>Contagem de Risco</t>
  </si>
  <si>
    <t>Demandas em risco de prazo</t>
  </si>
  <si>
    <t>Demandas em fora da expectativa</t>
  </si>
  <si>
    <t>Em andamento</t>
  </si>
  <si>
    <t>Demandas em dentro da expectativa</t>
  </si>
  <si>
    <t>Solicita agilizar obra de ponto de entrega e loteamento - obra 0302500469
Expectativa - 10/06/26. PE 7175625
OBRAS ASSOCIADAS AO PE FINALIDAS.</t>
  </si>
  <si>
    <t>Bruna Santos</t>
  </si>
  <si>
    <t>A solicitação refere-se a um poste localizado dentro do terreno da cliente, o que tem gerado diversos transtornos, pois ela precisa realizar manobras e desvios sempre que entra ou sai com seu veículo.
Além disso, a cliente compareceu à agência bastante insatisfeita, relatando que um vizinho, cuja solicitação de obra foi registrada posteriormente, já está sendo atendido por uma intervenção na mesma rede, o que tem aumentado sua percepção de demora no atendimento do próprio pedido.
Central do Cliente (12/08/2026): Em análise foi identificado que a obra 040-25-00933 encontra-se concluída fisicamente (04/08/2026).</t>
  </si>
  <si>
    <t>Visita Domo de Ferro. 
Por favor agilizar atendimento da Obra 0152600219.
Expectativa do Cliente 31/07/2026.
Solicitado apoio pelo vice-prefeito do municipio.
Sem anexos.
Central do Cliente (12/08/2026): Em análise foi identificado que a construção física da Obra 0152600219 está concluída</t>
  </si>
  <si>
    <t>Visita realizada pelo Projeto Integrar - Registro ID 73
Individualizar a medição da praça de eventos .
Central do Cliente (12/08/2026): Projeto Integrar. Informação, não foram anexados documentos e/ou informado nº de unidade consumidora, OS ou demais dados do(s) cliente(s) para abertura de ações.</t>
  </si>
  <si>
    <t>Projeto Integrar. Informação, não foram anexados documentos e/ou informado nº de unidade consumidora, OS ou demais dados do(s) cliente(s) para abertura de ações.</t>
  </si>
  <si>
    <t>Por favor verificar possibilidade de agilizar atendimento da Obra 0502600521.</t>
  </si>
  <si>
    <t>Por gentileza elaborar resposta e direcionar à Câmara Municipal de Dourados - Ofício 019/2026, pois a solicitação precisa ser protocolada individualmente pelos interessados.</t>
  </si>
  <si>
    <t>Prefeito solicitou a retirada de postes que estão fora do projeto de execução do calçamento em área urbana de Ribas do Rio Pardo.
Centrl do Cliente (12/08/2026): Card concluído devido insuficiência de informações para abertura de ações (nº de obra ou número da ordem de serviço).</t>
  </si>
  <si>
    <t>Ligação Nova - 70% da obra do cliente concluída: falta somente instalar o medidor e cliente informou que será concluída até 20/04.
CLIENTE LIGADO DIA 03/07</t>
  </si>
  <si>
    <t>Origem: Prefeito de Dourados. Solicitado para agilizar a pedido do Diretor Paulo. Id do projeto: 1847426. Tipo de projeto: subestação atendimento carga. Reapresentação do projeto elétrico para renovação de aprovação ( projeto PE 23867/22 Escola Avani).
PROJETADO APROVADO EM 13/05, AÇÃO FINALIZADA.</t>
  </si>
  <si>
    <t>NÃO CONSTA INFORMAÇÕES BÁSICAS PARA SEGUIR COM A TRATATIVA.</t>
  </si>
  <si>
    <t>SOLICITA AGILIZAR ANALISE DE PROJETO DE GD QUE TEM RECURSOS APROVADOS PELA ITAIPU.
PROJETO APROVADO DIA 27/05.</t>
  </si>
  <si>
    <t>ligação de Grupo A - UC LIGADA EM 07/08</t>
  </si>
  <si>
    <t>ESCOLA LIGADA DIA 07/08</t>
  </si>
  <si>
    <t>Card concluído devido insuficiência de informações (nº de obra ou número da ordem de serviço).</t>
  </si>
  <si>
    <t>Foi realizada reunião presencial na Prefeitura Municipal com o objetivo de estreitar o relacionamento institucional e compreender o contexto do requerimento de abertura de Comissão Parlamentar de Inquérito (CPI), proposto pela Câmara Municipal, relacionado à prestação dos serviços de distribuição de energia elétrica na região.
Durante o encontro, o Prefeito relatou algumas dificuldades de contato com a Energisa. Em resposta, Guilherme Paraná reforçou o compromisso da empresa com a qualidade dos serviços prestados, destacando que a Energisa mantém canais permanentes de diálogo com os poderes públicos e permanece à disposição para avaliar e atuar nos casos que forem formalmente sinalizados.
Também foram abordados temas relacionados à renovação da concessão da distribuidora e aos indicadores de desempenho da região, os quais se encontram em conformidade com os critérios e limites regulatórios estabelecidos pela ANEEL. Foi ressaltado, ainda, que eventuais ocorrências específicas poderão ser encaminhadas para análise e adoção das providências cabíveis.
Aline reforçou os canais de relacionamento disponíveis à Prefeitura, destacando que Monike atua como agente de relacionamento institucional e que as demandas municipais são acompanhadas/tratadas com o Servidor Theo. 
Também foi reforçada a importância da formalização do Termo de Cooperação para Poda e Manejo da Vegetação.
Ao final da reunião, o Prefeito apresentou as seguintes demandas para acompanhamento e encaminhamento:
• Obra de atendimento ao loteamento – PE 0810626;
• Esclarecimentos sobre a atualização do parque de iluminação pública;
• Relocação de poste para viabilização de obra de pavimentação executada pelo Governo do Estado, no âmbito do programa MS Ativo.
OS FINALIZADA COM A INFORMAÇÃO QUE NÃO PRECISA DE OBRA.</t>
  </si>
  <si>
    <t>Solicita agilizar obra de atendimento a estação elevatória de esgoto, considerando necessidade de inauguração em 20/07/26;
CLIENTE LIGADO DIA 24/07.</t>
  </si>
  <si>
    <t>CLIENTE LIGADO DIA 24/07.</t>
  </si>
  <si>
    <t>Solicita agilizar contrato solicitado em 05/06. para atender PE 19490/26 COOPERSCHUTZ COOPERATIVA AGROINDUSTRIAL  com transformador de 500 kVA
CLIENTE ATENDIDO DIA 10/07 UC  3733230 OS 549792379</t>
  </si>
  <si>
    <t>CARD FINALIZADO DEVIDO A DATA DA LIGAÇÃO PROVISORIA JÁ TER SIDO ULTRAPASSADA, PORÉM SEM NENHUMA INFORMAÇÃO OU REGISTRO DA AREA.</t>
  </si>
  <si>
    <t>AGILIZAR O ORÇAMENTO DO PE 92725 - TRATA-SE OBRA PRA ATENDER MEDIÇÃO AGRUPADA. EXPECTATIVA DO CLIENTE É TER A CONEXAO ATÉ FINAL DE JULHO DE 2026
Orçamento finalizado e enviado ao cliente sia 13/07 e finalizado o card.</t>
  </si>
  <si>
    <t>AGILIZAR ORÇAMENTO DO PE 94225 - TRATA-SE DE MEDIÇÃO AGRUPADA, EXPECITATIVA DE CONEXAO É FINAL DE JULHO DE 2026,
Central do Cliente (12/08/2026). Orçamento enviado para o cliente na data de 24/07/2026. Obra 020-26-01166 liberada para construção em 04/08/2026.</t>
  </si>
  <si>
    <t>DIRETORIA SOLICITOU PRIORIDADE NA EXECUÇÃO DESSA OBRA, EXPECITATIVA É 15/07/2026.
Central do Cliente (12/08/2026):
Obra 0502600350 concluída fisicamente em 10/07/2026.
Conexão realizada em 24/07/2026 através da OS 552345202, dando origem a unidade consumidora 3825398.</t>
  </si>
  <si>
    <t>Em análise foi identificado que a conexão do cliente ocorreu em 24/07/2026 através da OS 552345202, dando origem a unidade consumidora 3825398.</t>
  </si>
  <si>
    <t>[12:07, 26/06/2026] Paulo Roberto Presidente: Consegue a previsão por favor
[12:07, 26/06/2026] Paulo Roberto Presidente: Urgente.
Central do Cliente (12/08/2026): 
Obra 0102600400 conclusão física em 06/07/2026.
Conexão: realizada em 13/07/2026 através da OS 549821419, dando origem a unidade consumidora 3773730</t>
  </si>
  <si>
    <t>[15:00, 26/06/2026] Guilherme Parana: Maurício Botelho 
[15:00, 26/06/2026] Guilherme Parana: Pessoal, prioridade máxima pra agilizar esse processo pfv.
Central do Cliente (12/08/2026): Obra 010-26-00662 concluída em 01/07/2026. Cliente conectado na data de 30/06/2026 através da ordem de serviço 546950191, dando origem a unidade consumidora 3799024.</t>
  </si>
  <si>
    <t>Prefeito focou muito na questão da qualidade do fornecimento. Informou que nos ultimos meses sentiu uma melhora devido as manutenções realizadas pela Energisa, porém, a população ainda reclama de constantes oscilações .
SEM INFORMAÇÕES BASICAS PARA SEGUIR COM A TRATATIVA, NÃO CONSTA ANEXO.</t>
  </si>
  <si>
    <t>SEM ANEXO E INFORMAÇÕES BASICAS PARA CONSULTA.</t>
  </si>
  <si>
    <t>Negociação da divida correspondente a recontagem a iluminação pública.
TRATA-SE DE UMA INFORMAÇÃO, CARD FINALIZADO</t>
  </si>
  <si>
    <t>Contagem de Area</t>
  </si>
  <si>
    <t>Integrar</t>
  </si>
  <si>
    <t>SLA</t>
  </si>
  <si>
    <t>Area 2</t>
  </si>
  <si>
    <t>DCMD Programação de Obra</t>
  </si>
  <si>
    <t>DCMD Orçamento e Projetos</t>
  </si>
  <si>
    <t>DCMD Manutenção</t>
  </si>
  <si>
    <t>DEOP Qualidade</t>
  </si>
  <si>
    <t>Institucional</t>
  </si>
  <si>
    <t>DESC Agentes de Relacionamento</t>
  </si>
  <si>
    <t>DESC Ofícios</t>
  </si>
  <si>
    <t>dias das soliictações</t>
  </si>
  <si>
    <t>aging</t>
  </si>
  <si>
    <t>AGING</t>
  </si>
  <si>
    <t>16–30 dias</t>
  </si>
  <si>
    <t>0–5 dias</t>
  </si>
  <si>
    <t>&gt;50 dias</t>
  </si>
  <si>
    <t>30–50 dias</t>
  </si>
  <si>
    <t>6–15 dias</t>
  </si>
  <si>
    <t>Área</t>
  </si>
  <si>
    <t>Qtd</t>
  </si>
  <si>
    <t>Riscos</t>
  </si>
  <si>
    <t>Total</t>
  </si>
  <si>
    <t>Fora da Expectativa</t>
  </si>
  <si>
    <t>Indicador</t>
  </si>
  <si>
    <t>S-1</t>
  </si>
  <si>
    <t>Dentro da expectativa</t>
  </si>
  <si>
    <t>Atual</t>
  </si>
  <si>
    <t>Evolução</t>
  </si>
  <si>
    <t>Peso_I_INST</t>
  </si>
  <si>
    <t>Peso_I_INST_2</t>
  </si>
  <si>
    <t>Peso_Geral</t>
  </si>
  <si>
    <t>Obra complexa, será necessário varias etapas para conclusão 
Ponto de entrega será feito em:  21/08/2026
Restante da obra: 13/09/2026</t>
  </si>
  <si>
    <t>GESTORA MONIKE REALIZOU TODAS AS TRATATIVAS</t>
  </si>
  <si>
    <t>SEM INFORMAÇÕES SUFICIENTES PARA ANALISE</t>
  </si>
  <si>
    <t>EM CONTATO COM A GESTORA MONIKE TODAS AS DEMANDAS FORAM TRATADAS</t>
  </si>
  <si>
    <t>RD58497164 - com supervisão, imagem anexo.</t>
  </si>
  <si>
    <t>AÇÃO FINALIZADA EM CAMPO, EM CONTATO COM O PREFEITO, HOUVE UMA MELHORA SIGNIFICATIVA APÓS AS MANUTENÇÕES</t>
  </si>
  <si>
    <t>TODAS AS AÇÕES CONCLUÍDAS</t>
  </si>
  <si>
    <t>TODAS AS AÇÕES TRATADAS.</t>
  </si>
  <si>
    <t>TODAS AS AÇÕES CONCLUÍDAS E A PREFEITA CIENTE, INFORMAÇÃO DA GESTORA MONIKE</t>
  </si>
  <si>
    <t>OBRA: 0452600171 - ESCOPO: 40 METROS DE EXTENSÃO DE REDE + PONTO DE ENTREGA. 
PRAZO: 120 DIAS
EXPECTATIVA DO CLIENTE: 11/09
CLIENTE SOLICITA PRIORIDADE, ATUALMENTE OPERANDO COM GERADOR.</t>
  </si>
  <si>
    <t>Verificar cronograma e executar com o prioridade a obra.</t>
  </si>
  <si>
    <t>OBRA PROGRAMADA PARA 01/09 COM DESLIGAMENTO</t>
  </si>
  <si>
    <t>07/08/2026: Atraso das podas devido problema pontual com Meio ambiente. Previsto finalização final de agosto/26
14/08/2026: Mantem a programação de finalizar em agosto</t>
  </si>
  <si>
    <t>OS'S FINALIZADAS</t>
  </si>
  <si>
    <t>TRATA-SE DE LOTEAMENTO, DEVE TER PE PARA SEGUIMENTO</t>
  </si>
  <si>
    <t>Prefeitura de Coronel Sapucaia</t>
  </si>
  <si>
    <t>Obra parada precisa remover a estrutura para seguir com a parte interna, prefeitura quer intervir na rede, foi orientando quanto ao risco a segurança, e continuidade do fornecimento.</t>
  </si>
  <si>
    <t>Obra parada precisa remover a estrutura para seguir com a parte interna, prefeitura quer intervir na rede, foi orientando quanto ao risco a segurança, e continuidade do fornecimento. 0402600304.</t>
  </si>
  <si>
    <t>Thiago Secretario De Administração Prefeitura De Cel Sapucaia</t>
  </si>
  <si>
    <t>Por favor agilizar atendimento da Obra 0202601135. 
Loteamento Fortaleza III -  objeto das matrículas de no 26830 e 26.833 do Cartório de Registro de Imóveis de Maracaju/MS, em atendimento aos 109 lotes, conforme consta no Projeto Elétrico e croqui da locação dos postes para a extensão da rede.</t>
  </si>
  <si>
    <t>Por favor agilizar atendimento da Obra 0202601135. 
Loteamento Fortaleza III -  objeto das matrículas de no 26830 e 26.833 do Cartório de Registro de Imóveis de Maracaju/MS, em atendimento aos 109 lotes, conforme consta no Projeto Elétrico e croqui da locação dos postes para a extensão da rede.</t>
  </si>
  <si>
    <t>Prefeito Calderan
Gerente de Obras Ariana</t>
  </si>
  <si>
    <t>PREZADOS 1053824, NÃO FOI ATENDIDO A REDE DO LOTEAMENTO, ANEXO NO PROJETO TEM OS DOCUMENTOS NECESSARIOS PARA ATENDIMENTO, BEM COMO LEI DE CRIAÇÃO. A ENTREGA DAS CASAS SERIAM NO MÊS DE AGOSTO.</t>
  </si>
  <si>
    <t>PREFEITA ELAINE</t>
  </si>
  <si>
    <t>Em 02/03/2026 - realizada reunião presencial na Energisa com os diretores da SANESUL para tratar da qualidade de fornecimento das unidades de Corumbá.
Conforme documento anexo, cliente reclama de constantes oscilações no fornecimento de energia elétrica nas unidades de Corumbá.</t>
  </si>
  <si>
    <t>07/08/2026: Instalar medição nas 2 UC's prioritárias até dia 14/08/2026
14/08/2026: Instalar medição nas 2 UC's prioritárias até dia 18/08/2026. Necessário envolver o time da Gleistuany (GEST)</t>
  </si>
  <si>
    <t>RENATO MARCILIO DA SILVA</t>
  </si>
  <si>
    <t>Prefeito de Antonio João pedindo prioridade no atendimento dessa obra, pois a obra interna oi paralisada.</t>
  </si>
  <si>
    <t>Prefeito Marcelo</t>
  </si>
  <si>
    <t>Instalar medidores nas UC 9000076 listada como  prioritárias para análise dos níveis de tensão</t>
  </si>
  <si>
    <t>Notificar cliente sobre o andamento das ações e necessidade de apresentação de estudo de proteção, avaliar possível problemas internos</t>
  </si>
  <si>
    <t>Ficaram definidos os seguintes encaminhamentos:
1. A Energisa realizará uma inspeção geral na rede elétrica do Assentamento Floresta Branca;
2. Será efetuado levantamento das necessidades de poda de vegetação próxima à rede elétrica;
3. Serão analisados os casos de transformadores com possível necessidade de adequação ou aumento de capacidade;
4. A concessionária avaliará os protocolos de ressarcimento e as solicitações já registradas pelos moradores;
5. Será criado um grupo de comunicação entre representantes da comunidade e a Energisa para acompanhamento das demandas e divulgação das ações executadas;
6. A Energisa comprometeu-se a apresentar retorno à comunidade após a realização das inspeções e análises técnicas.
LUAN, QUAL PREVISÃO DAS CONCLUSÕES DAS AÇÕES?</t>
  </si>
  <si>
    <t>AMANDA, QUAL PROGRAMAÇÃO DA OBRA?</t>
  </si>
  <si>
    <t xml:space="preserve"> Ajuste no Faturamento: A Prefeita solicita a alteração dos nomes das unidades consumidoras da Prefeitura, de forma a facilitar a gestão do município na hora de pagar as despesas, uma vez que atualmente a descrição das unidades da Prefeitura não discriminam qual é o local (Posto de Saúde, Creche, Escola, Prefeitura).</t>
  </si>
  <si>
    <t>É necessário que o município encaminhe um oficio contendo as unidades consumidoras e a descrição de cada uma, para que possamos realizar o ajuste, o município precisa formalizar o pedido através de oficio.</t>
  </si>
  <si>
    <t>Reunião Institucional. PE 4828224 - Conexão GD UC 3467507 // LIGAÇÃO PROGRAMADA PARA ATENDIMENTO 12/08. DUPLICADO COM O ID 148</t>
  </si>
  <si>
    <t>A SOLICITAÇÃO DE AGILIDADE DO ORÇAMENTO JA FOI ATENDIDA, PARA AGILIDADE NA OBRA SERÁ CRIADO UM NOVO ID</t>
  </si>
  <si>
    <t>Ação1 - • Solicitar inspeção técnica no Assentamento Barra do Itá para avaliação das condições da rede elétrica e identificação de eventuais necessidades de manutenção e poda;</t>
  </si>
  <si>
    <t>S-2</t>
  </si>
  <si>
    <t>Detalhes do Qtd - Expectativa: Fora, Status_Acao: Em Andamento (+)</t>
  </si>
  <si>
    <t>Processo</t>
  </si>
  <si>
    <t>Previsao</t>
  </si>
  <si>
    <t>Sub_Areas</t>
  </si>
  <si>
    <t>NOTIFICAÇÃO ENVIADA</t>
  </si>
  <si>
    <t>Julio Antonelo</t>
  </si>
  <si>
    <t>Solicito por favor inserir este caso para acompanhamento na central, esse cliente teve sua jornada de ligação nova iniciada em 28/04, porém teve sua ordem de serviço transitando entre a baixa de campo e a baixa de projeto sem avanço das etapas necessárias para início da obra, apenas em 10/06 (43 dias após o pedido) seu processo seguiu o trâmite correto, sendo gerado obra para atendimento. 
Gentileza verificar a possibilidade de executarmos em caráter emergencial.
CLIENTE ATENDIDO MEDIDOR INSTALADO N6283376261</t>
  </si>
  <si>
    <t>DCMD - PROGRAMAÇÃO DE OBRA</t>
  </si>
  <si>
    <t>Programação de Obras e Gestão de Materiais</t>
  </si>
  <si>
    <t>Solicita substituião do poste quebrado a Rua Grace Kelly, 306</t>
  </si>
  <si>
    <t>Programar levantamento para substituição de poste quebrado. Rua Grace Kelly, nº 306 - Bairro Jardim Colibri - Campo Grande/MS.</t>
  </si>
  <si>
    <t>Vereador Beto Avelar</t>
  </si>
  <si>
    <t>Manutenção e Poda</t>
  </si>
  <si>
    <t>DCMD - PODA E MANUTENÇÃO</t>
  </si>
  <si>
    <t>Deputado e Prefeita solicitam a relocação com urgÊncia considerando a paralização das obras de pavimentação.
Expect 31/08/26;</t>
  </si>
  <si>
    <t>Por favor, disponibilizar orçamento ao cliente.</t>
  </si>
  <si>
    <t>Caravina - Deputado
Wanderleia - Prefeita 
Carol - Secretaria de Adm</t>
  </si>
  <si>
    <t>Orçamentos e Projetos</t>
  </si>
  <si>
    <t>Nelson Tutida</t>
  </si>
  <si>
    <t>050-26-00571</t>
  </si>
  <si>
    <t>Governador solicitou agilizar obra de atendimento ao Cliente.
Expec: 20/09/26;
NELSON TUTIDA
CPF: 245.245.499-00
IE: 28.790.825-9
FAZ MEIO SECULO, ZONA RURAL, ITAQUIRAÍ - MS
PROJETO 23623/26
UC: 3877911
CUSD 13524
OBRA: 050-26-00571</t>
  </si>
  <si>
    <t>Liberar programação da Obra 0502600571</t>
  </si>
  <si>
    <t>Eduardo Riedel - Governador
Paulo Roberto - DPRE</t>
  </si>
  <si>
    <t>Qualidade do produto</t>
  </si>
  <si>
    <t>DUPLICADO COM ID 550</t>
  </si>
  <si>
    <t>EM CONTATO COM O CESAR DO DCMD, INFORMOU QUE FOI REGULARIZADO</t>
  </si>
  <si>
    <t>OFICIO RESPONDIDO EM 05/01</t>
  </si>
  <si>
    <t>Manutenção de rede/Verificação de Tensão. Cliente reclama da qualidade de fornecimento e solicita verificação das condições dos cabos. 
CENTRAL: registrar poda de árvore e verificação de tensão. Paulo solicitou direto de 7 dias (522393892). TD 21682.  Ações em andamento: 04/05: iremos recompor o trecho faltante até 18/05. O trecho principal já foi reformado. 
16/06: UC estava ligado no circuito vizinho, agora trocado o barramento correto, ramal de entrada do cliente. Instalado o medidor, 7 dias uteis para ter o diagnostico</t>
  </si>
  <si>
    <t>ANALISE DE TENSÃO DENTRO DOS PADRÕES</t>
  </si>
  <si>
    <t>16/06 - levantamento de carga com a perdas. Pois as manutenções foram executadas e sem indicativo de problemas.</t>
  </si>
  <si>
    <t>Manifestação: Foi realizado a visita in loco pelo Giovani e foi recebido a demanda de podas de árvores no trecho da BR 163 localizada entre Nova
Alvorada do Sul e a Ponte seca.
Status atual: Em atuação campo (DEOP/DCMD)</t>
  </si>
  <si>
    <t>QUAL STATUS DAS AÇÕES DE CAMPO?</t>
  </si>
  <si>
    <t>Domo de ferro: Foi realizado visita in loco pelo Dian, conversado com o Vice Prefeito Henrique e foi levantado as seguintes informações relacionadas a qualidade: Religamentos no município todo dia das 18 às 20hrs, Fábrica de gelo com oscilação e queima de equipamentos, trecho TD 734803 e Quedas de energia na R: Pernambuco em frente ao Mercado M &amp; M, casa da vereadora Joceana.
Status atual: Em atuação campo (DEOP/DCMD)
QUAL STATUS DAS AÇÕES?</t>
  </si>
  <si>
    <t xml:space="preserve"> Evair Rogerio da Conceicao</t>
  </si>
  <si>
    <t>Manifestação: Em visita realizada no município pelo Dian foram coletadas algumas demandas, segue as demandas solicitadas: Limpeza de faixa mecanizada - LM entre ID 9070606 e ID
9070607 (CRÍTICO), Lançado 450 MTS LIMPEZA de faixa LM entre ID 8615174 e ID
9046178 (URGENTE), Lançado 220 MTS limpeza de faixa LM entre ID 135469229 e ID
9046694 (URGENTE) e Lançado 300 MTS limpeza de faixa LM entre ID 9553699 e ID
9563035 (URGENTE)
Status atual: Em atuação campo (DEOP/DCMD)
QUAL STATUS DAS AÇÕES?</t>
  </si>
  <si>
    <t>Status atual: Em atuação campo (DEOP/DCMD)
Manifestação: Foi realizado a visita in loco no município pelo Giovani e foi coletada a demanda de poda no Assentamento Eldorado II. Município Sidrolândia
QUAL STATUS DAS AÇÕES?</t>
  </si>
  <si>
    <t>Status atual: Em atuação campo (DEOP/DCMD)
Manifestação: Foi realizado a visita in loco pelo Dian e foi recebido a demanda de manutenção na UC 2496509, trata-se de um produtor de leite. UC 2496509 - Fazenda Santa Maria (Inocência)
QUAL STATUS DAS AÇÕES?</t>
  </si>
  <si>
    <t>Status atual: Em atuação campo (DEOP/DCMD)
Manifestação: Foi realizado a visita in loco pelo Giovani e foi recebido a demanda de poda na faixa de servidão no Ass. Nossa Senhora das Graças no município de Ribas do Rio Pardo.
QUAL STATUS DAS AÇÕES?</t>
  </si>
  <si>
    <t>Status atual: Em atuação campo (DEOP/DCMD.
Solicitação feita pelo Diretor Matos - Reclamação de constante queda, acionado o time de manutenção. UC 158916 - Fazenda Arrozal (Amambai)
09/07 - Inspeção no trecho será executada até 28/08.</t>
  </si>
  <si>
    <t>Status atual: Em atuação campo (DEOP/DCMD)
Audiência Pública - Zeca do PT (Jaraguari e Sonora). Reclamação de qualidade de fornecimento sobre frequência de falta de energia.
3701152 -Jaraguari
917743 - Sonora
QUAL STATUS DAS AÇÕES?</t>
  </si>
  <si>
    <t>PREFEITO NÃO AUTORIZA PODAR A ARVORE</t>
  </si>
  <si>
    <t>GENTILEZA SEGUIR COM AS AÇÕES.</t>
  </si>
  <si>
    <t>DEOP - QUALIDADE</t>
  </si>
  <si>
    <t>Qualidade - Sobrecarga Bairro Portal do Sol, nas referências elétricas TD 748480/748483/705324/705323/9631 - GD002.
Falta de energia: Gleba Nova Esperança e tem uma escola com mais de 200 alunos. Referência elétricas: TD 35070/34501/719015/ NHS01.
Manutenção: informaram que existe uma demanda para troca de postes de madeira de eucalipto. Foi informado a prefeitura que seria checado e seria dado uma devolutiva.
Diagnóstico Qualidade (DEOP/DCMD)
QUAL STATUS DAS AÇÕES?</t>
  </si>
  <si>
    <t>Origem: Agente de relacionamento Giovani Moura
Vereador solicitou revisão no sistema elétrico nos bairros Novo Horizonte e Altos do Indaiá em Dourados. Protocolo 9500628194. UC 3742758.
Em atuação Campo (DEOP/DCMD).
QUAL STATUS DAS AÇÕES?</t>
  </si>
  <si>
    <t>Obra: 0102503007 com prazo de 120 dias ano 2025 sem conclusão, Prefeitura entrou em contato pois já teve obito no local e precisa ser resolvido com urgência. Agradeço a informação do novo prazo, expectativa do cliente que seja dentro do mês de Junho.
AMANDA, QUAL PROGRAMAÇÃO DA OBRA?</t>
  </si>
  <si>
    <t>• Agendar reunião presencial na Câmara Municipal para apresentação do Supervisor Regional, do Coordenador responsável pela área e do Agente de Relacionamento Institucional;</t>
  </si>
  <si>
    <t>AVALIAR AÇÕES DE CORREÇÃO</t>
  </si>
  <si>
    <t>Gentileza realizar analise no Assentamento Auxiliadora e Rancho Loma.</t>
  </si>
  <si>
    <t>S-3</t>
  </si>
  <si>
    <t>ALEMS</t>
  </si>
  <si>
    <t/>
  </si>
  <si>
    <t>945</t>
  </si>
  <si>
    <t>1016</t>
  </si>
  <si>
    <t>0452600171</t>
  </si>
  <si>
    <t>670</t>
  </si>
  <si>
    <t>9000076</t>
  </si>
  <si>
    <t>938</t>
  </si>
  <si>
    <t>0302500580</t>
  </si>
  <si>
    <t>980</t>
  </si>
  <si>
    <t>0102601310</t>
  </si>
  <si>
    <t>986</t>
  </si>
  <si>
    <t>0302600292</t>
  </si>
  <si>
    <t>120</t>
  </si>
  <si>
    <t>0302500469</t>
  </si>
  <si>
    <t>Obras relacionadas ao PE concluídas.</t>
  </si>
  <si>
    <t>825</t>
  </si>
  <si>
    <t>831</t>
  </si>
  <si>
    <t>0502600521</t>
  </si>
  <si>
    <t>847</t>
  </si>
  <si>
    <t>0402500933</t>
  </si>
  <si>
    <t>861</t>
  </si>
  <si>
    <t>869</t>
  </si>
  <si>
    <t>0152600219</t>
  </si>
  <si>
    <t>875</t>
  </si>
  <si>
    <t>Evair Rogerio da Conceição</t>
  </si>
  <si>
    <t>898</t>
  </si>
  <si>
    <t>906</t>
  </si>
  <si>
    <t>0202601007</t>
  </si>
  <si>
    <t>933</t>
  </si>
  <si>
    <t>943</t>
  </si>
  <si>
    <t>946</t>
  </si>
  <si>
    <t>947</t>
  </si>
  <si>
    <t>948</t>
  </si>
  <si>
    <t>0102601081</t>
  </si>
  <si>
    <t>960</t>
  </si>
  <si>
    <t>961</t>
  </si>
  <si>
    <t>962</t>
  </si>
  <si>
    <t>963</t>
  </si>
  <si>
    <t>964</t>
  </si>
  <si>
    <t>965</t>
  </si>
  <si>
    <t>1008</t>
  </si>
  <si>
    <t>0402600304</t>
  </si>
  <si>
    <t>1009</t>
  </si>
  <si>
    <t>0202601135</t>
  </si>
  <si>
    <t>1012</t>
  </si>
  <si>
    <t>0402600456</t>
  </si>
  <si>
    <t>Obra 0402600456 - programação de obra</t>
  </si>
  <si>
    <t>1022</t>
  </si>
  <si>
    <t>30723</t>
  </si>
  <si>
    <t>1027</t>
  </si>
  <si>
    <t>0402600390</t>
  </si>
  <si>
    <t>1032</t>
  </si>
  <si>
    <t>1036</t>
  </si>
  <si>
    <t>1043</t>
  </si>
  <si>
    <t>0202600251</t>
  </si>
  <si>
    <t>1045</t>
  </si>
  <si>
    <t>1057</t>
  </si>
  <si>
    <t>G A DE BARROS LTDA</t>
  </si>
  <si>
    <t>0252600281</t>
  </si>
  <si>
    <t>Presidente solicitou para agilizar obra de extensão de rede para atendimento de Eletroposto.
Expectativa: 20/09/26</t>
  </si>
  <si>
    <t>Obra 0252600281 - por favor agilizar programação.</t>
  </si>
  <si>
    <t>Paulo Roberto</t>
  </si>
  <si>
    <t>1060</t>
  </si>
  <si>
    <t>MUNICIPIO DE RIBAS DO RIO PARDO</t>
  </si>
  <si>
    <t>0102601321</t>
  </si>
  <si>
    <t>Prefeito de Ribas me pediu para agilizar essas obras a seguir pra esta semana urgente.</t>
  </si>
  <si>
    <t>agilizar obra, pra esta semana urgente.</t>
  </si>
  <si>
    <t>1061</t>
  </si>
  <si>
    <t>0102601427</t>
  </si>
  <si>
    <t>Prefeito de Ribas me pediu para agilizar essas obras a seguir pra esta semana urgente</t>
  </si>
  <si>
    <t>agilizar obra pra esta semana urgente.</t>
  </si>
  <si>
    <t>1062</t>
  </si>
  <si>
    <t>PREFEITURA RIBAS DO RIO PARDO</t>
  </si>
  <si>
    <t>0102601240</t>
  </si>
  <si>
    <t>1064</t>
  </si>
  <si>
    <t>MUNICIPIO DE COXM</t>
  </si>
  <si>
    <t>0702600176</t>
  </si>
  <si>
    <t>Coxim</t>
  </si>
  <si>
    <t>Availdo vai entrar em contato. Obra liberada, pedir prioridade via central, SOLICITADA PELA ALINE MESQUITA</t>
  </si>
  <si>
    <t>Availdo vai entrar em contato, para maior entendimento, trata-se de duas obras 0702600176 e 0702600108. Aline Mesquita descreveu: Porem segue algumas observações;
a Obra ainda não esta em execução mesmo ter saído sem custo, provavelmente o que esta pendente é o contrato de demanda com os grandes clientes.
o posto de transformação também esta pendente a solicitação de comissionamento.</t>
  </si>
  <si>
    <t>Relacionamento com cliente</t>
  </si>
  <si>
    <t>CGCP</t>
  </si>
  <si>
    <t>Obra liberada, liberar programação, obra necessaria ser atendida com urgencia. Demanda DPRE
São duas obras 0702600176 e 0702600108</t>
  </si>
  <si>
    <t>1066</t>
  </si>
  <si>
    <t>Trata-se do novo prédio da Policia militar. Obra por parte do cliente concluída e comissionada.</t>
  </si>
  <si>
    <t>Agilizar o orçamento para seguirmos com a elaboração dos contratos</t>
  </si>
  <si>
    <t>Denise Simoes</t>
  </si>
  <si>
    <t>1067</t>
  </si>
  <si>
    <t>1.368.792.051-47</t>
  </si>
  <si>
    <t>PODA E SUPRESSAO DA ARVORE UC136879205147 RUA DAS FIGUEIRAS 810 - JARDIM COLIBRI, COM AUTORIZAÇÃO DO IMAM, CONFORME ANEXO. NECESSARIO COM URGENCIA ARVORE ESTA CAINDO E NO LOCAL NAO PODE FICAR SEM ENERGIA DEVIDO A SER UM CLIENTE VIP ENFERMO COM USO DE EQUIPAMENTO ESSENCIAL.</t>
  </si>
  <si>
    <t>1073</t>
  </si>
  <si>
    <t>PREFEITURA MUNICIPAL DE ANTONIO JOÃO</t>
  </si>
  <si>
    <t>SOLICITA AGILIZAR A REALIZAÇAO DA OBRA
EXPECTATIVA 15/09</t>
  </si>
  <si>
    <t>Obra 0402600390 - Programação.</t>
  </si>
  <si>
    <t>PAULO ROBERTO
BETO PEREIRA</t>
  </si>
  <si>
    <t>824</t>
  </si>
  <si>
    <t>893</t>
  </si>
  <si>
    <t>0602600372</t>
  </si>
  <si>
    <t>942</t>
  </si>
  <si>
    <t>944</t>
  </si>
  <si>
    <t>567</t>
  </si>
  <si>
    <t>1063</t>
  </si>
  <si>
    <t>0702600108</t>
  </si>
  <si>
    <t>Ventura obra do Centro de Convenções 070-26-00108
Porem segue algumas observações;
a Obra ainda não esta em execução mesmo ter saído sem custo, provavelmente o que esta pendente é o contrato de demanda com os grandes clientes.
o posto de transformação também esta pendente a solicitação de comissionamento.</t>
  </si>
  <si>
    <t>Verificar com o cliente a aprovação do orçamento, para liberação da programação da obra.</t>
  </si>
  <si>
    <t>Em tratativa com o cliente o mesmo foi informado que é necessário enviar formulário preenchido. Aguardando o mesmo enviar o formulário.</t>
  </si>
  <si>
    <t>0102502363</t>
  </si>
  <si>
    <t>0202501568</t>
  </si>
  <si>
    <t>147</t>
  </si>
  <si>
    <t>150</t>
  </si>
  <si>
    <t>156</t>
  </si>
  <si>
    <t>186</t>
  </si>
  <si>
    <t>248</t>
  </si>
  <si>
    <t>0252600193</t>
  </si>
  <si>
    <t>269</t>
  </si>
  <si>
    <t>270</t>
  </si>
  <si>
    <t>272</t>
  </si>
  <si>
    <t>0202600473</t>
  </si>
  <si>
    <t>283</t>
  </si>
  <si>
    <t>290</t>
  </si>
  <si>
    <t>291</t>
  </si>
  <si>
    <t>292</t>
  </si>
  <si>
    <t>296</t>
  </si>
  <si>
    <t>3467507</t>
  </si>
  <si>
    <t>298</t>
  </si>
  <si>
    <t>299</t>
  </si>
  <si>
    <t>0202600657</t>
  </si>
  <si>
    <t>331</t>
  </si>
  <si>
    <t>332</t>
  </si>
  <si>
    <t>197686</t>
  </si>
  <si>
    <t>Sem informações.</t>
  </si>
  <si>
    <t>452</t>
  </si>
  <si>
    <t>453</t>
  </si>
  <si>
    <t>56</t>
  </si>
  <si>
    <t>2476949</t>
  </si>
  <si>
    <t>622</t>
  </si>
  <si>
    <t>641</t>
  </si>
  <si>
    <t>665</t>
  </si>
  <si>
    <t>0502600350</t>
  </si>
  <si>
    <t>671</t>
  </si>
  <si>
    <t>Por gentileza, verificar o andamento das tratativas relacionadas ao PE 19490/25. 
Conforme informado em 09/07/2026 a ligação estava programada para execução em 10/07/2026.</t>
  </si>
  <si>
    <t>CLIENTE ATENDIDO DIA 10/07 UC 3733230. OS AUMENTO 549792379</t>
  </si>
  <si>
    <t>672</t>
  </si>
  <si>
    <t>698</t>
  </si>
  <si>
    <t>1938216</t>
  </si>
  <si>
    <t>711</t>
  </si>
  <si>
    <t>1663287</t>
  </si>
  <si>
    <t>717</t>
  </si>
  <si>
    <t>1938867</t>
  </si>
  <si>
    <t>719</t>
  </si>
  <si>
    <t>3731199</t>
  </si>
  <si>
    <t>72</t>
  </si>
  <si>
    <t>722</t>
  </si>
  <si>
    <t>2754488</t>
  </si>
  <si>
    <t>724</t>
  </si>
  <si>
    <t>730</t>
  </si>
  <si>
    <t>750</t>
  </si>
  <si>
    <t>751</t>
  </si>
  <si>
    <t>757</t>
  </si>
  <si>
    <t>776</t>
  </si>
  <si>
    <t>0102600400</t>
  </si>
  <si>
    <t>778</t>
  </si>
  <si>
    <t>0102600662</t>
  </si>
  <si>
    <t>78</t>
  </si>
  <si>
    <t>80</t>
  </si>
  <si>
    <t>81</t>
  </si>
  <si>
    <t>84</t>
  </si>
  <si>
    <t>1847426</t>
  </si>
  <si>
    <t>934</t>
  </si>
  <si>
    <t>982</t>
  </si>
  <si>
    <t>983</t>
  </si>
  <si>
    <t>984</t>
  </si>
  <si>
    <t>985</t>
  </si>
  <si>
    <t>1068</t>
  </si>
  <si>
    <t>Prefeito solicita agilidade na execução da obra de relocação da rede.</t>
  </si>
  <si>
    <t>Obra 0702600176 - Programação de obra (agilidade na execução).</t>
  </si>
  <si>
    <t>Devido á analise da performance da qualidade do fornecimento para a região, e identificado os principais trechos ofensores da qualidade percebida pelo cliente, há necessidade de atuação da manutenção nos blocos abaixo:
FR(17834)
FR(17964)
RD(745462)
FU(18087)
FR(18051)</t>
  </si>
  <si>
    <t>0102503007</t>
  </si>
  <si>
    <t>295</t>
  </si>
  <si>
    <t>364</t>
  </si>
  <si>
    <t>388</t>
  </si>
  <si>
    <t>448</t>
  </si>
  <si>
    <t>449</t>
  </si>
  <si>
    <t>455</t>
  </si>
  <si>
    <t>456</t>
  </si>
  <si>
    <t>457</t>
  </si>
  <si>
    <t>2496509</t>
  </si>
  <si>
    <t>458</t>
  </si>
  <si>
    <t>675</t>
  </si>
  <si>
    <t>158916</t>
  </si>
  <si>
    <t>708</t>
  </si>
  <si>
    <t>723</t>
  </si>
  <si>
    <t>1937031</t>
  </si>
  <si>
    <t>Queda frequente de energia -  rede desta unidade é de Itahum do outro lado do rio, o que foi cogitado nas reuniões foi futuramente uma rede nova que seja do sentido Maracaju aonde fic localizada a propriedade - ASSUNTO SERÁ PROSSEGUIDO COM DIAN DEVIDO JÁ TER CONHECIMENTO DO ASSUNTO. 
ENERGISA
DIRETOR: fazer um multirão para realizar poda de árvore. Entraremos com o Diesel e execução das podas debaixo da rede. Alinhar com o time e informar o Vereador Catito pelo menos 3 dias antes para organizar time e maquinários. TD 749518. 
Ações em andamento 04/05: será contratado da empresa maquinários para realização da limpeza de faixa, previsto para 25/05. Levantamento dos pontos entre 05/05 a 08/05</t>
  </si>
  <si>
    <t>149</t>
  </si>
  <si>
    <t>152</t>
  </si>
  <si>
    <t>158</t>
  </si>
  <si>
    <t>191</t>
  </si>
  <si>
    <t>0102505237</t>
  </si>
  <si>
    <t>204</t>
  </si>
  <si>
    <t>0452600083</t>
  </si>
  <si>
    <t>266</t>
  </si>
  <si>
    <t>271</t>
  </si>
  <si>
    <t>0202600478</t>
  </si>
  <si>
    <t>273</t>
  </si>
  <si>
    <t>0202600481</t>
  </si>
  <si>
    <t>293</t>
  </si>
  <si>
    <t>297</t>
  </si>
  <si>
    <t>316</t>
  </si>
  <si>
    <t>318</t>
  </si>
  <si>
    <t>2092832</t>
  </si>
  <si>
    <t>326</t>
  </si>
  <si>
    <t>333</t>
  </si>
  <si>
    <t>264979</t>
  </si>
  <si>
    <t>334</t>
  </si>
  <si>
    <t>335</t>
  </si>
  <si>
    <t>533</t>
  </si>
  <si>
    <t>534</t>
  </si>
  <si>
    <t>535</t>
  </si>
  <si>
    <t>633</t>
  </si>
  <si>
    <t>639</t>
  </si>
  <si>
    <t>64</t>
  </si>
  <si>
    <t>642</t>
  </si>
  <si>
    <t>676</t>
  </si>
  <si>
    <t>718</t>
  </si>
  <si>
    <t>729</t>
  </si>
  <si>
    <t>74</t>
  </si>
  <si>
    <t>75</t>
  </si>
  <si>
    <t>76</t>
  </si>
  <si>
    <t>773</t>
  </si>
  <si>
    <t>459</t>
  </si>
  <si>
    <t>549</t>
  </si>
  <si>
    <t>550</t>
  </si>
  <si>
    <t>3742758</t>
  </si>
  <si>
    <t>566</t>
  </si>
  <si>
    <t>643</t>
  </si>
  <si>
    <t>707</t>
  </si>
  <si>
    <t>3456606</t>
  </si>
  <si>
    <t>Supervisão</t>
  </si>
  <si>
    <t>Nioaque</t>
  </si>
  <si>
    <t>CAMPO GRANDE</t>
  </si>
  <si>
    <t>CAMPO GRANDE INTERIOR</t>
  </si>
  <si>
    <t>CORUMBA</t>
  </si>
  <si>
    <t>COSTA RICA</t>
  </si>
  <si>
    <t>COXIM</t>
  </si>
  <si>
    <t>JARDIM</t>
  </si>
  <si>
    <t>NOVA ANDRADINA</t>
  </si>
  <si>
    <t>PARANAIBA</t>
  </si>
  <si>
    <t>PONTA PORA</t>
  </si>
  <si>
    <t>RIO BRILHANTE</t>
  </si>
  <si>
    <t>AQUIDAUANA</t>
  </si>
  <si>
    <t>DOURADOS</t>
  </si>
  <si>
    <t>NAVIRAI</t>
  </si>
  <si>
    <t>% da carteira</t>
  </si>
  <si>
    <t>&gt; 50 dias</t>
  </si>
  <si>
    <t>30-50 dias</t>
  </si>
  <si>
    <t>Detalhes do Contagem de Area - Expectativa: Dentro, Risco: Risco, Status_Acao: Em Andamento (+)</t>
  </si>
  <si>
    <t>Coluna1</t>
  </si>
  <si>
    <t>Obra parada precisa remover a estrutura para seguir com a parte interna, prefeitura quer intervir na rede, foi orientando quanto ao risco a segurança, e continuidade do fornecimento. 
Escola será entregue no dia 02/09/2026 e precisamos que a obra seja atendida antes dessa data.</t>
  </si>
  <si>
    <t>0402600304 PROGRAMAR OBRA</t>
  </si>
  <si>
    <t>PROGRAMADA PARA 18/09</t>
  </si>
  <si>
    <t>Obra programada para finalizar 20/09</t>
  </si>
  <si>
    <t>Bruna Ricardes</t>
  </si>
  <si>
    <t>1074</t>
  </si>
  <si>
    <t>0202600798</t>
  </si>
  <si>
    <t>Caarapó</t>
  </si>
  <si>
    <t>Prefeita solicitou adiantamento da obra, em decorrecnia de obra no local.</t>
  </si>
  <si>
    <t>Obra 0202600798 - programação.</t>
  </si>
  <si>
    <t>Prefeita Lurdes</t>
  </si>
  <si>
    <t>Conforme pactuado na reunião de qualidade realizada em 23/07/2026, ficou como saída a instalação de 07 medidores para avaliação dos níveis de tensão das unidades reclamadas e refazer os estudos de religamentos. Conforme alinhado o DESC planilhou as unidades consumidoras por ordem de prioridade para as devidas atuações (planilha em anexo).</t>
  </si>
  <si>
    <t>No dia 31/08, não foi possível realizar a execução, pois não conseguimos contato com o COI. O local estava sem sinal de rádio e de celular, impossibilitando a comunicação necessária para continuidade da atividade.
A obra foi reprogramada para o dia 29/09.</t>
  </si>
  <si>
    <t>OBRA CONCLUIDA 21/08</t>
  </si>
  <si>
    <t>0302600251</t>
  </si>
  <si>
    <t>Obra concluída 28/08</t>
  </si>
  <si>
    <t>Supressão realizada.</t>
  </si>
  <si>
    <t>Evair Conceicao</t>
  </si>
  <si>
    <t>1093</t>
  </si>
  <si>
    <t>Interruções de nergia no centro da cidade de Amabai</t>
  </si>
  <si>
    <t>Para direcionamento de ação ao DEOP é necessário fornecer mais informações, tais como, número de controle interno, número da unidade consumidora, dentre outros.</t>
  </si>
  <si>
    <t>Vereadora Suzana</t>
  </si>
  <si>
    <t>1095</t>
  </si>
  <si>
    <t>Interrupções de energia no centro da cidade de Amambai</t>
  </si>
  <si>
    <t>Vereador darci José da Silva</t>
  </si>
  <si>
    <t>1097</t>
  </si>
  <si>
    <t>1.292.193.051-59</t>
  </si>
  <si>
    <t>Deputado relata que existe problema na injeção de creditos em sua unidade consumidora.
Reclama do elevado consumo de sua residência.
Expec: 04/09/26.
Subsídios encaminhados via Teams aos cuidados do gestor de relacionamento Dian Cleiton em 04/09/2026.</t>
  </si>
  <si>
    <t>Informação sobre faturamento GD - Unidade Consumidora 2406080.</t>
  </si>
  <si>
    <t>Controle Interno 2406080 - GD 
Troca de Medidor Para Aferição - Data 30/04/2025.OS 404908453 - Medidor Retirado W0002050271 
Canal 03: 21178
Canal 103: 16581 
Medidor Aprovado pelo INMETRO - Laudo 2859/2025
Em análise foi identificado que, na data de 29/05/2025 após ensaios realizados pelo INMETRO foi identificado que não havia inconsistências com o medidor W0002050271 retirado da unidade consumidora 2406080 através da ordem de serviço 404908453.
Esclarecemos que, na ocasião o medidor W0002050271 apresentava as leituras (03 consumo medido 21178 e 103 energia injetada 16581), contabilizando 560 KWh de consumo residual e 143 KWh de energia ativa injetada residual. 
Após a substituição dos medidores as leituras foram coletadas mensalmente com visitas regulares realizadas por nossos leituristas e confirmação das grandezas faturáveis (consumo e injetado). 
Em consulta ao histórico de leitura e faturamento da unidade identificamos que, até a referência 05/2024 a unidade consumidora apresentava uma média de consumo inferior a média de energia injetada, dessa maneira, ao longo dos meses anteriores a energia injetada era superior ao consumo medido, logo, ocorria a compensação de todo consumo medido restando saldo excedente acumulado para compensação nos faturamentos subsequentes. 
Esclarecemos que, a partir da referência 11/2024 a unidade em questão passou a apresentar uma média de consumo superior ao injetado, no entanto, devido a existência de saldo acumulado de meses anteriores durante o processo de faturamento a compensação estava ocorrendo até o limite do custo de disponibilidade conforme dispõe a resolução vigente.
Cumpre informar, que até a referência 07/2026 a unidade consumidora dispunha de 680 KWh em saldo acumulado de meses anteriores, portanto, a diferença entre o consumo medido e o injetado na respectiva referência foi compensado considerando o saldo informado resultando em uma diferença de 174 KWh, ocasionando na fatura de R$ 328,70. 
Para o faturamento da referência 08/2026, foi identificado que, na data de 18/08/2026 em visita realizada ao imóvel foram coletadas as leituras (03 consumo medido 13.562 e 103 energia injetada 11.436), contabilizando 1.405 KWh de consumo e 627 KWh de injetado. Logo, devido ao esgotamento do saldo excedente acumulado em meses anteriores, houve a compensação de toda a energia injetada no respectivo faturamento (627 KWh), restando uma diferença de 778 KWh (consumo medido), resultando na fatura emitida no valor de R$ 1.112,83. 
Diante dos dados de medição (leituras), informo que o consumo medido e o injetado na referência 08/2026 estão de acordo com os registros contabilizados pelo equipamento de medição instalado na unidade reclamada. Portanto, a fatura emitida no valor de R$ 1.112,83 está correta não havendo înconsistências com o respectivo faturamento.</t>
  </si>
  <si>
    <t>Geraldo Resende - Deputado
Anne Jackeline - Secretária</t>
  </si>
  <si>
    <t>Podas e limpeza de faixas concluidas dia 04/09/26</t>
  </si>
  <si>
    <t>"No dia 31/08, não foi possível realizar a execução, pois não conseguimos contato com o COI. O local estava sem sinal de rádio e de celular, impossibilitando a comunicação necessária para continuidade da atividade.
A obra foi reprogramada para o dia 29/09." respondido no ID 938</t>
  </si>
  <si>
    <t>Obra 0302600292 concluída.</t>
  </si>
  <si>
    <t>1080</t>
  </si>
  <si>
    <t xml:space="preserve"> JOSE RODRIGUES PEREIRA</t>
  </si>
  <si>
    <t>0102201031</t>
  </si>
  <si>
    <t>Bandeirantes</t>
  </si>
  <si>
    <t>Proprietário da Faz Elizabeth solicita a execução da obra em execução em sua proriedade a 4 anos. 
precisa da execução imediata para inicio do plantio.
Necessidade 15/09/26.</t>
  </si>
  <si>
    <t>Miguel de Lima Nigro</t>
  </si>
  <si>
    <t>Junior Mocci
Renato Câmara</t>
  </si>
  <si>
    <t>1087</t>
  </si>
  <si>
    <t>RAFAEL PIZZI</t>
  </si>
  <si>
    <t>2986442/2944064</t>
  </si>
  <si>
    <t>RECLAMAÇÃO SOBRECARGAS E ABERTURA DO TRANSFORMADOR.
UC 2986442 - 200 A
UC 2944064 - 200 A 
ligadas no mesmo transformador. ENTF 000505</t>
  </si>
  <si>
    <t>Por favor realizar os estudos para avaliação e as possíveis intervenções. Unidades consumidoras 2986442 e 2944064. Transformador ENTF 000505.</t>
  </si>
  <si>
    <t>José Natan - Prefeito</t>
  </si>
  <si>
    <t>1090</t>
  </si>
  <si>
    <t>0402600380</t>
  </si>
  <si>
    <t>Laguna Carapã</t>
  </si>
  <si>
    <t>Prefeito solicita a relocação em caráter emergencial, pois tem risco de perder recurso para construção de imoveis na área em questão.
Obra  0402600380
Expectatica: 30:09:26</t>
  </si>
  <si>
    <t>Obra 0402600380 - Programação.</t>
  </si>
  <si>
    <t>Itamar - Prefeito</t>
  </si>
  <si>
    <t>1098</t>
  </si>
  <si>
    <t>0302600330</t>
  </si>
  <si>
    <t>Ivinhema</t>
  </si>
  <si>
    <t>Obra 0302600330 - agilizar programação.</t>
  </si>
  <si>
    <t>Zé Teixeira - DEPUTADO
Paulo Roberto - DPRE</t>
  </si>
  <si>
    <t>ELDORADO</t>
  </si>
  <si>
    <t>CRISLAINE ARRUDA DA SILVA</t>
  </si>
  <si>
    <t>Por favor, agilizar atendimentos das ordens de serviço 561015595 (Vistoria) e 561015594 (Ligação Nova). Ligação nova do poço no assentamento Santa Paula.</t>
  </si>
  <si>
    <t>Matheus Carneiro de Oliveira</t>
  </si>
  <si>
    <t>Vandereli Oliveira Domingos</t>
  </si>
  <si>
    <t>Gentileza verificar conforme ofício como está o andamento da solicitação do aumento de carga. Pois na UC 2486949 informada não foi localizada solicitação de aumento de carga.</t>
  </si>
  <si>
    <t>RESPONDIDO NO ID 1064</t>
  </si>
  <si>
    <t>Para análise é necessário fornecer o número de unidade(s) consumidora(s) para que seja possível realizar a análise dos principais ofensores ao longo do circuito que atende os trechos impactados.</t>
  </si>
  <si>
    <t>Para que seja possível realizar os estudos e possíveis intervenções é necessário disponibilizar maiores informações, tais como, nº de unidade(s) consumidora(s).</t>
  </si>
  <si>
    <t>Obra: 0102503007 com prazo de 120 dias ano 2025 sem conclusão, Prefeitura entrou em contato pois já teve obito no local e precisa ser resolvido com urgência. Agradeço a informação do novo prazo, expectativa do cliente que seja dentro do mês de Junho. 
Demanda gerada em duplicidade com o ID 968 - Ação 2474.</t>
  </si>
  <si>
    <t>reuniao agendada 31/08/2026.</t>
  </si>
  <si>
    <t>BONITO</t>
  </si>
  <si>
    <t>Direcionar ao time da qualidade para realização de analise dos blocos ofensores</t>
  </si>
  <si>
    <t>Câmara Municpal de Bela Vista</t>
  </si>
  <si>
    <t>Por favor realizar estudos para identificação de possíveis blocos ofensores.</t>
  </si>
  <si>
    <t>DEOP COI</t>
  </si>
  <si>
    <t>Reprogramada para 18/09 - devido a contingência</t>
  </si>
  <si>
    <t>gerar os de ligação e programar pra 11/09</t>
  </si>
  <si>
    <t>OS DE LIGAÇÃO GERADAS 
PEDIDO PROGRAMAÇÃO PARA 11/09, AGUARDANDO CONFIRMAÇÃO</t>
  </si>
  <si>
    <t>Reprogramada para 24/09 - devido a contingencia</t>
  </si>
  <si>
    <t>Obra gerada o boleto na UC conforme solicitado e liberada.</t>
  </si>
  <si>
    <t>Programada para 14/10</t>
  </si>
  <si>
    <t>Obra 0102601240. Devolver ao SPRO, projeto não condiz com a situação em campo. No projeto pede a desativação de uma rede mas ela não é existente em campo.</t>
  </si>
  <si>
    <t>Evelyn Carlos Benites</t>
  </si>
  <si>
    <t>Reprogramada para 26/09  - devido a contingencia</t>
  </si>
  <si>
    <t>SECRETARIA DE ESTADO DE JUSTIÇA E SEGURANÇA PÚBLICA</t>
  </si>
  <si>
    <t>010260168</t>
  </si>
  <si>
    <t>Obra 010260168 - Projeto anexado. Por favor seguir com a elaboração dos contratos. Orçamento enviado para o cliente.</t>
  </si>
  <si>
    <t>SOLICITA AGILIZAR A REALIZAÇAO DA OBRA
EXPECTATIVA 15/09.
Demanda gerada em duplicidade - Obra 0402600390 - Todas as tratativas que o caso requer ocorrerá através do ID 1027.</t>
  </si>
  <si>
    <t>Duplicado com ID 1027</t>
  </si>
  <si>
    <t>Mantém para 28/09</t>
  </si>
  <si>
    <t>Obra 0102201031 Fiscalização Reprovada. Por favor avaliar o andamento pois a obra contempla a instalação de 01 religador 34.5 KV. 
Tratativa deve ser feita pelo SPCO, o Religador chegará em 28/09/2026.</t>
  </si>
  <si>
    <t>DEPUTADO SOLICITA AGILIZAR OBRA DE MELHORIA PARA ATENDIMENTO A AUMENTO DE CARGA.
EXPECTATIVA 05/10/26. 
Orçamento não foi aprovado pelo cliente, dessa maneira, no há possibilidade de agilizar atendimento da obra (agente institucional) orientado via Teams.</t>
  </si>
  <si>
    <t>ORÇAMENTO AINDA NAO APROVADO PELO CLIENTE</t>
  </si>
  <si>
    <t>1105</t>
  </si>
  <si>
    <t>Solicita realizar a ligação com urgência do loteamento</t>
  </si>
  <si>
    <t>Obra 0302500469 - Favor incluir na programação.</t>
  </si>
  <si>
    <t>Paulo Roberto do Santos</t>
  </si>
  <si>
    <t>1110</t>
  </si>
  <si>
    <t xml:space="preserve"> HAMMES COMÉRCIO DE CEREAIS LTDA. ME</t>
  </si>
  <si>
    <t>0202600853</t>
  </si>
  <si>
    <t>Rio Brilhante</t>
  </si>
  <si>
    <t>Solicita agilizar a realização da obra 0202600853
EXPECTATIVA: 20/09/26</t>
  </si>
  <si>
    <t>Obra 0202600853 favor incluir na programação.</t>
  </si>
  <si>
    <t>Zé Teixeira
Paulo Roberto</t>
  </si>
  <si>
    <t>1119</t>
  </si>
  <si>
    <t xml:space="preserve"> IRANI ENERHARD</t>
  </si>
  <si>
    <t>0202600755</t>
  </si>
  <si>
    <t>Deputado Solicita agilizar obra de execução de instalação de ponto de entrega.
Expectativa 05/10/2026;</t>
  </si>
  <si>
    <t>Obra 0202600755 - Por favor incluir na programação.</t>
  </si>
  <si>
    <t>1120</t>
  </si>
  <si>
    <t>PONTE PRETA PARTICIPAÇÕES SOCIETÁRIAS LTDA</t>
  </si>
  <si>
    <t>2952299</t>
  </si>
  <si>
    <t>SOLICITA AGILIZAR OS 558638822, considerando que a regularização foi executada.
Expec 16/09/26</t>
  </si>
  <si>
    <t>Por favor agilizar atendimento da OS 563985314 - Vistoria Para Padronização.</t>
  </si>
  <si>
    <t>Jorge Luis Martinelli</t>
  </si>
  <si>
    <t>Jaime Verruck
Paulo Roberto dos Santos</t>
  </si>
  <si>
    <t>Ligação Nova GA</t>
  </si>
  <si>
    <t>DECP - LIGAÇÃO GA</t>
  </si>
  <si>
    <t>Após a conclusão das ações por parte DEOP/DCMD, elaborar parecer e retornar ao cliente com as devolutivas.</t>
  </si>
  <si>
    <t>Rafael Penteado Rodrigues Martins</t>
  </si>
  <si>
    <t>Reinaldo Jobes Gonçalves</t>
  </si>
  <si>
    <t>Por favor entrar em contato com o cliente para repactuação da expectativa.</t>
  </si>
  <si>
    <t>Obra 0602600372 - Por favor incluir na programação.</t>
  </si>
  <si>
    <t>Reprogramada para 27/09 - devido a contingência</t>
  </si>
  <si>
    <t>Vistoria/Ligação executadas em 02/09/2026, dando origem a unidade consumidora 3893362.</t>
  </si>
  <si>
    <t>Prefeito solicita agilidade na execução da obra de relocação da rede. Respondido no ID 1064 duplicado. Finalizando CARD atual.</t>
  </si>
  <si>
    <t>Devido á analise da performance da qualidade do fornecimento para a região, e identificado os principais trechos ofensores da qualidade percebida pelo cliente, há necessidade de atuação da manutenção nos blocos abaixo: FR(17834), FR(17964), RD(745462), FU(18087),
FR(18051).</t>
  </si>
  <si>
    <t>DECP - Ligação GA</t>
  </si>
  <si>
    <t>Status</t>
  </si>
  <si>
    <t>S-Atual</t>
  </si>
  <si>
    <t>Fora da Expectativa (atrasada)</t>
  </si>
  <si>
    <t>Risco de Prazo</t>
  </si>
  <si>
    <t>Total de demandas em aberto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</si>
</sst>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name val="Aptos Narrow"/>
    </font>
    <font>
      <sz val="11"/>
      <name val="Aptos Narrow"/>
      <family val="2"/>
    </font>
    <font>
      <sz val="11"/>
      <name val="Aptos Narrow"/>
      <family val="2"/>
    </font>
    <font>
      <b/>
      <sz val="11"/>
      <color theme="1"/>
      <name val="Aptos Narrow"/>
      <family val="2"/>
    </font>
    <font>
      <sz val="7"/>
      <name val="Arial"/>
      <family val="2"/>
    </font>
    <font>
      <b/>
      <sz val="7"/>
      <color rgb="FF000000"/>
      <name val="Calibri"/>
      <family val="2"/>
    </font>
    <font>
      <sz val="7"/>
      <color rgb="FF000000"/>
      <name val="Calibri"/>
      <family val="2"/>
    </font>
    <font>
      <sz val="9"/>
      <color indexed="8"/>
      <name val="Geneva"/>
    </font>
    <font>
      <sz val="8"/>
      <name val="Aptos Narrow"/>
      <family val="2"/>
    </font>
    <font>
      <sz val="11"/>
      <color rgb="FFFF0000"/>
      <name val="Aptos Narrow"/>
      <family val="2"/>
    </font>
    <font>
      <b/>
      <sz val="6"/>
      <name val="Calibri"/>
      <family val="2"/>
    </font>
    <font>
      <sz val="6"/>
      <name val="Calibri"/>
      <family val="2"/>
    </font>
    <font>
      <sz val="8"/>
      <color rgb="FF000000"/>
      <name val="Calibri"/>
      <family val="2"/>
    </font>
    <font>
      <b/>
      <sz val="11"/>
      <name val="Aptos Narrow"/>
      <family val="2"/>
    </font>
    <font>
      <sz val="11"/>
      <color rgb="FFFF0000"/>
      <name val="Calibri"/>
      <family val="2"/>
    </font>
    <font>
      <sz val="11"/>
      <name val="Calibri"/>
      <family val="2"/>
    </font>
    <font>
      <b/>
      <sz val="8"/>
      <color rgb="FF000000"/>
      <name val="Calibri"/>
      <family val="2"/>
    </font>
  </fonts>
  <fills count="8">
    <fill>
      <patternFill patternType="none"/>
    </fill>
    <fill>
      <patternFill patternType="gray125"/>
    </fill>
    <fill>
      <patternFill patternType="solid">
        <fgColor theme="4" tint="0.79998168889431442"/>
        <bgColor theme="4" tint="0.79998168889431442"/>
      </patternFill>
    </fill>
    <fill>
      <patternFill patternType="solid">
        <fgColor rgb="FF00B050"/>
        <bgColor indexed="64"/>
      </patternFill>
    </fill>
    <fill>
      <patternFill patternType="solid">
        <fgColor rgb="FFE7E7E7"/>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s>
  <borders count="12">
    <border>
      <left/>
      <right/>
      <top/>
      <bottom/>
      <diagonal/>
    </border>
    <border>
      <left/>
      <right/>
      <top/>
      <bottom style="thin">
        <color auto="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rgb="FF000000"/>
      </top>
      <bottom style="medium">
        <color rgb="FF000000"/>
      </bottom>
      <diagonal/>
    </border>
    <border>
      <left/>
      <right/>
      <top style="medium">
        <color rgb="FF000000"/>
      </top>
      <bottom/>
      <diagonal/>
    </border>
    <border>
      <left style="thin">
        <color rgb="FFDCE6E6"/>
      </left>
      <right style="thin">
        <color rgb="FFDCE6E6"/>
      </right>
      <top style="medium">
        <color rgb="FF000000"/>
      </top>
      <bottom style="thin">
        <color rgb="FFDCE6E6"/>
      </bottom>
      <diagonal/>
    </border>
    <border>
      <left style="thin">
        <color rgb="FFDCE6E6"/>
      </left>
      <right style="thin">
        <color rgb="FFDCE6E6"/>
      </right>
      <top style="thin">
        <color rgb="FFDCE6E6"/>
      </top>
      <bottom style="thin">
        <color rgb="FFDCE6E6"/>
      </bottom>
      <diagonal/>
    </border>
    <border>
      <left style="thin">
        <color rgb="FFDCE6E6"/>
      </left>
      <right style="thin">
        <color rgb="FFDCE6E6"/>
      </right>
      <top style="medium">
        <color rgb="FF000000"/>
      </top>
      <bottom style="medium">
        <color rgb="FF000000"/>
      </bottom>
      <diagonal/>
    </border>
  </borders>
  <cellStyleXfs count="3">
    <xf numFmtId="0" fontId="0" fillId="0" borderId="0"/>
    <xf numFmtId="9" fontId="1" fillId="0" borderId="0" applyFont="0" applyFill="0" applyBorder="0" applyAlignment="0" applyProtection="0"/>
    <xf numFmtId="0" fontId="7" fillId="0" borderId="0"/>
  </cellStyleXfs>
  <cellXfs count="67">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0" fillId="0" borderId="4" xfId="0" applyBorder="1" applyAlignment="1">
      <alignment horizontal="center" vertical="center" wrapText="1"/>
    </xf>
    <xf numFmtId="0" fontId="0" fillId="0" borderId="5" xfId="0" applyBorder="1" applyAlignment="1">
      <alignment horizontal="center"/>
    </xf>
    <xf numFmtId="9" fontId="0" fillId="0" borderId="6" xfId="1" applyFont="1" applyBorder="1" applyAlignment="1">
      <alignment horizontal="center"/>
    </xf>
    <xf numFmtId="0" fontId="2" fillId="0" borderId="4" xfId="0" applyFont="1" applyBorder="1" applyAlignment="1">
      <alignment horizontal="center" vertical="center" wrapText="1"/>
    </xf>
    <xf numFmtId="0" fontId="3" fillId="2" borderId="2" xfId="0" applyFont="1" applyFill="1" applyBorder="1"/>
    <xf numFmtId="0" fontId="2" fillId="0" borderId="0" xfId="0" applyFont="1"/>
    <xf numFmtId="10" fontId="0" fillId="0" borderId="0" xfId="0" applyNumberFormat="1"/>
    <xf numFmtId="0" fontId="0" fillId="0" borderId="0" xfId="0" pivotButton="1" applyAlignment="1">
      <alignment horizontal="center"/>
    </xf>
    <xf numFmtId="0" fontId="4" fillId="0" borderId="0" xfId="0" applyFont="1" applyAlignment="1">
      <alignment horizontal="center" wrapText="1"/>
    </xf>
    <xf numFmtId="0" fontId="4" fillId="4" borderId="0" xfId="0" applyFont="1" applyFill="1" applyAlignment="1">
      <alignment horizontal="center" wrapText="1"/>
    </xf>
    <xf numFmtId="0" fontId="5" fillId="0" borderId="7" xfId="0" applyFont="1" applyBorder="1" applyAlignment="1">
      <alignment horizontal="center" wrapText="1" readingOrder="1"/>
    </xf>
    <xf numFmtId="0" fontId="6" fillId="4" borderId="8" xfId="0" applyFont="1" applyFill="1" applyBorder="1" applyAlignment="1">
      <alignment horizontal="left" wrapText="1" readingOrder="1"/>
    </xf>
    <xf numFmtId="0" fontId="4" fillId="4" borderId="8" xfId="0" applyFont="1" applyFill="1" applyBorder="1" applyAlignment="1">
      <alignment horizontal="center" wrapText="1"/>
    </xf>
    <xf numFmtId="0" fontId="6" fillId="4" borderId="8" xfId="0" applyFont="1" applyFill="1" applyBorder="1" applyAlignment="1">
      <alignment horizontal="center" wrapText="1" readingOrder="1"/>
    </xf>
    <xf numFmtId="0" fontId="6" fillId="0" borderId="0" xfId="0" applyFont="1" applyAlignment="1">
      <alignment horizontal="left" wrapText="1" readingOrder="1"/>
    </xf>
    <xf numFmtId="0" fontId="6" fillId="0" borderId="0" xfId="0" applyFont="1" applyAlignment="1">
      <alignment horizontal="center" wrapText="1" readingOrder="1"/>
    </xf>
    <xf numFmtId="0" fontId="6" fillId="4" borderId="0" xfId="0" applyFont="1" applyFill="1" applyAlignment="1">
      <alignment horizontal="left" wrapText="1" readingOrder="1"/>
    </xf>
    <xf numFmtId="0" fontId="6" fillId="4" borderId="0" xfId="0" applyFont="1" applyFill="1" applyAlignment="1">
      <alignment horizontal="center" wrapText="1" readingOrder="1"/>
    </xf>
    <xf numFmtId="0" fontId="5" fillId="0" borderId="7" xfId="0" applyFont="1" applyBorder="1" applyAlignment="1">
      <alignment horizontal="left" wrapText="1" readingOrder="1"/>
    </xf>
    <xf numFmtId="0" fontId="7" fillId="0" borderId="0" xfId="2"/>
    <xf numFmtId="0" fontId="5" fillId="5" borderId="4" xfId="0" applyFont="1" applyFill="1" applyBorder="1" applyAlignment="1">
      <alignment horizontal="center" wrapText="1" readingOrder="1"/>
    </xf>
    <xf numFmtId="0" fontId="6" fillId="5" borderId="4" xfId="0" applyFont="1" applyFill="1" applyBorder="1" applyAlignment="1">
      <alignment horizontal="left" wrapText="1" readingOrder="1"/>
    </xf>
    <xf numFmtId="0" fontId="4" fillId="5" borderId="4" xfId="0" applyFont="1" applyFill="1" applyBorder="1" applyAlignment="1">
      <alignment horizontal="center" wrapText="1"/>
    </xf>
    <xf numFmtId="9" fontId="4" fillId="5" borderId="4" xfId="1" applyFont="1" applyFill="1" applyBorder="1" applyAlignment="1">
      <alignment horizontal="center" wrapText="1"/>
    </xf>
    <xf numFmtId="0" fontId="6" fillId="5" borderId="4" xfId="0" applyFont="1" applyFill="1" applyBorder="1" applyAlignment="1">
      <alignment horizontal="center" wrapText="1" readingOrder="1"/>
    </xf>
    <xf numFmtId="9" fontId="4" fillId="5" borderId="4" xfId="0" applyNumberFormat="1" applyFont="1" applyFill="1" applyBorder="1" applyAlignment="1">
      <alignment horizontal="center" wrapText="1"/>
    </xf>
    <xf numFmtId="10" fontId="0" fillId="0" borderId="0" xfId="0" applyNumberFormat="1" applyAlignment="1">
      <alignment horizontal="center"/>
    </xf>
    <xf numFmtId="9" fontId="0" fillId="0" borderId="0" xfId="0" applyNumberFormat="1"/>
    <xf numFmtId="0" fontId="3" fillId="2" borderId="2" xfId="0" applyFont="1" applyFill="1" applyBorder="1" applyAlignment="1">
      <alignment horizontal="center"/>
    </xf>
    <xf numFmtId="0" fontId="3" fillId="2" borderId="3" xfId="0" applyFont="1" applyFill="1" applyBorder="1" applyAlignment="1">
      <alignment horizontal="left"/>
    </xf>
    <xf numFmtId="0" fontId="3" fillId="2" borderId="3" xfId="0" applyFont="1" applyFill="1" applyBorder="1" applyAlignment="1">
      <alignment horizontal="center"/>
    </xf>
    <xf numFmtId="9" fontId="0" fillId="0" borderId="0" xfId="1" applyFont="1"/>
    <xf numFmtId="14" fontId="0" fillId="0" borderId="0" xfId="0" applyNumberFormat="1"/>
    <xf numFmtId="2" fontId="0" fillId="6" borderId="0" xfId="0" applyNumberFormat="1" applyFill="1"/>
    <xf numFmtId="2" fontId="2" fillId="6" borderId="0" xfId="0" applyNumberFormat="1" applyFont="1" applyFill="1"/>
    <xf numFmtId="0" fontId="0" fillId="6" borderId="0" xfId="0" applyFill="1"/>
    <xf numFmtId="0" fontId="0" fillId="0" borderId="1" xfId="0" applyBorder="1"/>
    <xf numFmtId="0" fontId="2" fillId="6" borderId="0" xfId="0" applyFont="1" applyFill="1"/>
    <xf numFmtId="0" fontId="2" fillId="6" borderId="1" xfId="0" applyFont="1" applyFill="1" applyBorder="1"/>
    <xf numFmtId="1" fontId="0" fillId="0" borderId="0" xfId="0" applyNumberFormat="1"/>
    <xf numFmtId="3" fontId="0" fillId="0" borderId="0" xfId="0" applyNumberFormat="1"/>
    <xf numFmtId="0" fontId="0" fillId="3" borderId="0" xfId="0" applyFill="1"/>
    <xf numFmtId="2" fontId="0" fillId="0" borderId="0" xfId="0" applyNumberFormat="1"/>
    <xf numFmtId="0" fontId="9" fillId="6" borderId="0" xfId="0" applyFont="1" applyFill="1"/>
    <xf numFmtId="0" fontId="10" fillId="0" borderId="0" xfId="0" applyFont="1"/>
    <xf numFmtId="0" fontId="11" fillId="0" borderId="0" xfId="0" applyFont="1"/>
    <xf numFmtId="0" fontId="12" fillId="0" borderId="9" xfId="0" applyFont="1" applyBorder="1" applyAlignment="1">
      <alignment horizontal="center" wrapText="1" readingOrder="1"/>
    </xf>
    <xf numFmtId="0" fontId="12" fillId="0" borderId="10" xfId="0" applyFont="1" applyBorder="1" applyAlignment="1">
      <alignment horizontal="center" wrapText="1" readingOrder="1"/>
    </xf>
    <xf numFmtId="9" fontId="12" fillId="0" borderId="10" xfId="0" applyNumberFormat="1" applyFont="1" applyBorder="1" applyAlignment="1">
      <alignment horizontal="center" wrapText="1" readingOrder="1"/>
    </xf>
    <xf numFmtId="9" fontId="7" fillId="0" borderId="0" xfId="1" applyFont="1"/>
    <xf numFmtId="0" fontId="9" fillId="0" borderId="0" xfId="0" applyFont="1"/>
    <xf numFmtId="0" fontId="14" fillId="0" borderId="0" xfId="0" applyFont="1"/>
    <xf numFmtId="0" fontId="15" fillId="0" borderId="0" xfId="0" applyFont="1"/>
    <xf numFmtId="14" fontId="2" fillId="0" borderId="0" xfId="0" applyNumberFormat="1" applyFont="1"/>
    <xf numFmtId="14" fontId="0" fillId="0" borderId="0" xfId="0" applyNumberFormat="1" applyAlignment="1">
      <alignment horizontal="center"/>
    </xf>
    <xf numFmtId="0" fontId="1" fillId="0" borderId="0" xfId="0" applyFont="1"/>
    <xf numFmtId="0" fontId="16" fillId="0" borderId="11" xfId="0" applyFont="1" applyBorder="1" applyAlignment="1">
      <alignment horizontal="center" vertical="center" wrapText="1" readingOrder="1"/>
    </xf>
    <xf numFmtId="0" fontId="16" fillId="0" borderId="9" xfId="0" applyFont="1" applyBorder="1" applyAlignment="1">
      <alignment horizontal="center" vertical="center" wrapText="1" readingOrder="1"/>
    </xf>
    <xf numFmtId="0" fontId="16" fillId="0" borderId="10" xfId="0" applyFont="1" applyBorder="1" applyAlignment="1">
      <alignment horizontal="center" vertical="center" wrapText="1" readingOrder="1"/>
    </xf>
    <xf numFmtId="0" fontId="13" fillId="0" borderId="0" xfId="0" applyFont="1"/>
    <xf numFmtId="0" fontId="0" fillId="7" borderId="0" xfId="0" applyFill="1"/>
    <xf numFmtId="14" fontId="0" fillId="7" borderId="0" xfId="0" applyNumberFormat="1" applyFill="1"/>
    <xf numFmtId="22" fontId="0" fillId="0" borderId="0" xfId="0" applyNumberFormat="1" applyAlignment="1">
      <alignment horizontal="center"/>
    </xf>
  </cellXfs>
  <cellStyles count="3">
    <cellStyle name="Normal" xfId="0" builtinId="0"/>
    <cellStyle name="Normal 2" xfId="2" xr:uid="{7C225A52-8C69-4D3A-9A5C-F50E85FEAFBD}"/>
    <cellStyle name="Porcentagem" xfId="1" builtinId="5"/>
  </cellStyles>
  <dxfs count="139">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0" formatCode="General"/>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0" formatCode="General"/>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numFmt numFmtId="19" formatCode="dd/mm/yyyy"/>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numFmt numFmtId="0" formatCode="General"/>
      <fill>
        <patternFill patternType="solid">
          <fgColor indexed="64"/>
          <bgColor rgb="FFFFFF00"/>
        </patternFill>
      </fill>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fill>
        <patternFill patternType="solid">
          <fgColor indexed="64"/>
          <bgColor rgb="FFFFFF00"/>
        </patternFill>
      </fill>
      <alignment horizontal="general" vertical="bottom" textRotation="0" wrapText="0" indent="0" justifyLastLine="0" shrinkToFit="0" readingOrder="0"/>
    </dxf>
    <dxf>
      <font>
        <strike val="0"/>
        <outline val="0"/>
        <shadow val="0"/>
        <u val="none"/>
        <vertAlign val="baseline"/>
        <sz val="11"/>
      </font>
      <fill>
        <patternFill patternType="solid">
          <fgColor indexed="64"/>
          <bgColor rgb="FFFFFF00"/>
        </patternFill>
      </fill>
      <alignment horizontal="general" vertical="bottom" textRotation="0" wrapText="0" indent="0" justifyLastLine="0" shrinkToFit="0" readingOrder="0"/>
    </dxf>
    <dxf>
      <font>
        <strike val="0"/>
        <outline val="0"/>
        <shadow val="0"/>
        <u val="none"/>
        <vertAlign val="baseline"/>
        <sz val="11"/>
      </font>
      <fill>
        <patternFill patternType="solid">
          <fgColor indexed="64"/>
          <bgColor rgb="FFFFFF00"/>
        </patternFill>
      </fill>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font>
        <strike val="0"/>
        <outline val="0"/>
        <shadow val="0"/>
        <u val="none"/>
        <vertAlign val="baseline"/>
        <sz val="11"/>
      </font>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numFmt numFmtId="14" formatCode="0.00%"/>
    </dxf>
    <dxf>
      <alignment horizontal="center"/>
    </dxf>
    <dxf>
      <alignment horizontal="center"/>
    </dxf>
    <dxf>
      <alignment horizontal="center"/>
    </dxf>
    <dxf>
      <alignment horizontal="center"/>
    </dxf>
    <dxf>
      <alignment horizontal="center"/>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600" b="1" i="0" u="none" strike="noStrike" kern="1200" cap="all" spc="120" normalizeH="0" baseline="0">
                <a:solidFill>
                  <a:schemeClr val="tx1">
                    <a:lumMod val="65000"/>
                    <a:lumOff val="35000"/>
                  </a:schemeClr>
                </a:solidFill>
                <a:latin typeface="Calibri (Títulos)"/>
                <a:ea typeface="+mn-ea"/>
                <a:cs typeface="+mn-cs"/>
              </a:defRPr>
            </a:pPr>
            <a:r>
              <a:rPr lang="pt-BR" sz="600">
                <a:latin typeface="Calibri (Títulos)"/>
              </a:rPr>
              <a:t>regional</a:t>
            </a:r>
          </a:p>
        </c:rich>
      </c:tx>
      <c:overlay val="0"/>
      <c:spPr>
        <a:noFill/>
        <a:ln>
          <a:noFill/>
        </a:ln>
        <a:effectLst/>
      </c:spPr>
      <c:txPr>
        <a:bodyPr rot="0" spcFirstLastPara="1" vertOverflow="ellipsis" vert="horz" wrap="square" anchor="ctr" anchorCtr="1"/>
        <a:lstStyle/>
        <a:p>
          <a:pPr>
            <a:defRPr sz="600" b="1" i="0" u="none" strike="noStrike" kern="1200" cap="all" spc="120" normalizeH="0" baseline="0">
              <a:solidFill>
                <a:schemeClr val="tx1">
                  <a:lumMod val="65000"/>
                  <a:lumOff val="35000"/>
                </a:schemeClr>
              </a:solidFill>
              <a:latin typeface="Calibri (Títulos)"/>
              <a:ea typeface="+mn-ea"/>
              <a:cs typeface="+mn-cs"/>
            </a:defRPr>
          </a:pPr>
          <a:endParaRPr lang="pt-BR"/>
        </a:p>
      </c:txPr>
    </c:title>
    <c:autoTitleDeleted val="0"/>
    <c:plotArea>
      <c:layout/>
      <c:barChart>
        <c:barDir val="col"/>
        <c:grouping val="stacked"/>
        <c:varyColors val="0"/>
        <c:ser>
          <c:idx val="0"/>
          <c:order val="0"/>
          <c:tx>
            <c:strRef>
              <c:f>RESUMO!$D$121</c:f>
              <c:strCache>
                <c:ptCount val="1"/>
                <c:pt idx="0">
                  <c:v>CENTRO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Calibri (Títulos)"/>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RESUMO!$E$121</c:f>
              <c:numCache>
                <c:formatCode>General</c:formatCode>
                <c:ptCount val="1"/>
                <c:pt idx="0">
                  <c:v>20</c:v>
                </c:pt>
              </c:numCache>
            </c:numRef>
          </c:val>
          <c:extLst>
            <c:ext xmlns:c16="http://schemas.microsoft.com/office/drawing/2014/chart" uri="{C3380CC4-5D6E-409C-BE32-E72D297353CC}">
              <c16:uniqueId val="{00000000-DDD7-4C0C-BA15-4927DC9D7E94}"/>
            </c:ext>
          </c:extLst>
        </c:ser>
        <c:ser>
          <c:idx val="1"/>
          <c:order val="1"/>
          <c:tx>
            <c:strRef>
              <c:f>RESUMO!$D$122</c:f>
              <c:strCache>
                <c:ptCount val="1"/>
                <c:pt idx="0">
                  <c:v>NORTE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Calibri (Títulos)"/>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RESUMO!$E$122</c:f>
              <c:numCache>
                <c:formatCode>General</c:formatCode>
                <c:ptCount val="1"/>
                <c:pt idx="0">
                  <c:v>11</c:v>
                </c:pt>
              </c:numCache>
            </c:numRef>
          </c:val>
          <c:extLst>
            <c:ext xmlns:c16="http://schemas.microsoft.com/office/drawing/2014/chart" uri="{C3380CC4-5D6E-409C-BE32-E72D297353CC}">
              <c16:uniqueId val="{00000001-DDD7-4C0C-BA15-4927DC9D7E94}"/>
            </c:ext>
          </c:extLst>
        </c:ser>
        <c:ser>
          <c:idx val="2"/>
          <c:order val="2"/>
          <c:tx>
            <c:strRef>
              <c:f>RESUMO!$D$123</c:f>
              <c:strCache>
                <c:ptCount val="1"/>
                <c:pt idx="0">
                  <c:v>SUL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Calibri (Títulos)"/>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RESUMO!$E$123</c:f>
              <c:numCache>
                <c:formatCode>General</c:formatCode>
                <c:ptCount val="1"/>
                <c:pt idx="0">
                  <c:v>25</c:v>
                </c:pt>
              </c:numCache>
            </c:numRef>
          </c:val>
          <c:extLst>
            <c:ext xmlns:c16="http://schemas.microsoft.com/office/drawing/2014/chart" uri="{C3380CC4-5D6E-409C-BE32-E72D297353CC}">
              <c16:uniqueId val="{00000002-DDD7-4C0C-BA15-4927DC9D7E94}"/>
            </c:ext>
          </c:extLst>
        </c:ser>
        <c:dLbls>
          <c:dLblPos val="ctr"/>
          <c:showLegendKey val="0"/>
          <c:showVal val="1"/>
          <c:showCatName val="0"/>
          <c:showSerName val="0"/>
          <c:showPercent val="0"/>
          <c:showBubbleSize val="0"/>
        </c:dLbls>
        <c:gapWidth val="79"/>
        <c:overlap val="100"/>
        <c:axId val="1220537520"/>
        <c:axId val="1220532720"/>
      </c:barChart>
      <c:catAx>
        <c:axId val="122053752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20532720"/>
        <c:crosses val="autoZero"/>
        <c:auto val="1"/>
        <c:lblAlgn val="ctr"/>
        <c:lblOffset val="100"/>
        <c:noMultiLvlLbl val="0"/>
      </c:catAx>
      <c:valAx>
        <c:axId val="1220532720"/>
        <c:scaling>
          <c:orientation val="minMax"/>
        </c:scaling>
        <c:delete val="1"/>
        <c:axPos val="l"/>
        <c:numFmt formatCode="General" sourceLinked="1"/>
        <c:majorTickMark val="none"/>
        <c:minorTickMark val="none"/>
        <c:tickLblPos val="nextTo"/>
        <c:crossAx val="12205375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1104900</xdr:colOff>
      <xdr:row>23</xdr:row>
      <xdr:rowOff>9525</xdr:rowOff>
    </xdr:from>
    <xdr:to>
      <xdr:col>3</xdr:col>
      <xdr:colOff>746515</xdr:colOff>
      <xdr:row>24</xdr:row>
      <xdr:rowOff>36288</xdr:rowOff>
    </xdr:to>
    <xdr:sp macro="" textlink="">
      <xdr:nvSpPr>
        <xdr:cNvPr id="3" name="Text 27">
          <a:extLst>
            <a:ext uri="{FF2B5EF4-FFF2-40B4-BE49-F238E27FC236}">
              <a16:creationId xmlns:a16="http://schemas.microsoft.com/office/drawing/2014/main" id="{512813FE-E210-C889-8768-99BBD0BC7B12}"/>
            </a:ext>
          </a:extLst>
        </xdr:cNvPr>
        <xdr:cNvSpPr/>
      </xdr:nvSpPr>
      <xdr:spPr>
        <a:xfrm>
          <a:off x="2571750" y="5000625"/>
          <a:ext cx="1765690" cy="217263"/>
        </a:xfrm>
        <a:prstGeom prst="rect">
          <a:avLst/>
        </a:prstGeom>
        <a:noFill/>
        <a:ln/>
      </xdr:spPr>
      <xdr:txBody>
        <a:bodyPr wrap="square" lIns="0" tIns="0" rIns="0" bIns="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buNone/>
          </a:pPr>
          <a:r>
            <a:rPr lang="en-US" sz="900" b="1">
              <a:latin typeface="Calibri" pitchFamily="34" charset="0"/>
              <a:ea typeface="Calibri" pitchFamily="34" charset="-122"/>
              <a:cs typeface="Calibri" pitchFamily="34" charset="-120"/>
            </a:rPr>
            <a:t>AÇÕES EM TRATATIVAS</a:t>
          </a:r>
          <a:endParaRPr lang="en-US" sz="900"/>
        </a:p>
      </xdr:txBody>
    </xdr:sp>
    <xdr:clientData/>
  </xdr:twoCellAnchor>
  <xdr:twoCellAnchor>
    <xdr:from>
      <xdr:col>1</xdr:col>
      <xdr:colOff>0</xdr:colOff>
      <xdr:row>50</xdr:row>
      <xdr:rowOff>0</xdr:rowOff>
    </xdr:from>
    <xdr:to>
      <xdr:col>1</xdr:col>
      <xdr:colOff>899486</xdr:colOff>
      <xdr:row>51</xdr:row>
      <xdr:rowOff>28956</xdr:rowOff>
    </xdr:to>
    <xdr:sp macro="" textlink="">
      <xdr:nvSpPr>
        <xdr:cNvPr id="4" name="Text 7">
          <a:extLst>
            <a:ext uri="{FF2B5EF4-FFF2-40B4-BE49-F238E27FC236}">
              <a16:creationId xmlns:a16="http://schemas.microsoft.com/office/drawing/2014/main" id="{61964DFA-DA41-BDE7-C369-BC5D2AD65547}"/>
            </a:ext>
          </a:extLst>
        </xdr:cNvPr>
        <xdr:cNvSpPr/>
      </xdr:nvSpPr>
      <xdr:spPr>
        <a:xfrm>
          <a:off x="1876425" y="9372600"/>
          <a:ext cx="899486" cy="219456"/>
        </a:xfrm>
        <a:prstGeom prst="rect">
          <a:avLst/>
        </a:prstGeom>
        <a:noFill/>
        <a:ln>
          <a:noFill/>
        </a:ln>
      </xdr:spPr>
      <xdr:txBody>
        <a:bodyPr wrap="square" lIns="0" tIns="0" rIns="0" bIns="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buNone/>
          </a:pPr>
          <a:r>
            <a:rPr lang="en-US" sz="900" b="1">
              <a:latin typeface="Calibri" pitchFamily="34" charset="0"/>
              <a:ea typeface="Calibri" pitchFamily="34" charset="-122"/>
              <a:cs typeface="Calibri" pitchFamily="34" charset="-120"/>
            </a:rPr>
            <a:t>TOP 5 ÁREAS</a:t>
          </a:r>
          <a:endParaRPr lang="en-US" sz="900"/>
        </a:p>
      </xdr:txBody>
    </xdr:sp>
    <xdr:clientData/>
  </xdr:twoCellAnchor>
  <xdr:twoCellAnchor>
    <xdr:from>
      <xdr:col>0</xdr:col>
      <xdr:colOff>361950</xdr:colOff>
      <xdr:row>71</xdr:row>
      <xdr:rowOff>161925</xdr:rowOff>
    </xdr:from>
    <xdr:to>
      <xdr:col>7</xdr:col>
      <xdr:colOff>203009</xdr:colOff>
      <xdr:row>73</xdr:row>
      <xdr:rowOff>165374</xdr:rowOff>
    </xdr:to>
    <xdr:sp macro="" textlink="">
      <xdr:nvSpPr>
        <xdr:cNvPr id="6" name="Text 27">
          <a:extLst>
            <a:ext uri="{FF2B5EF4-FFF2-40B4-BE49-F238E27FC236}">
              <a16:creationId xmlns:a16="http://schemas.microsoft.com/office/drawing/2014/main" id="{4388DEBF-4235-1E7C-7F5C-E0A830425DAA}"/>
            </a:ext>
          </a:extLst>
        </xdr:cNvPr>
        <xdr:cNvSpPr/>
      </xdr:nvSpPr>
      <xdr:spPr>
        <a:xfrm>
          <a:off x="361950" y="13535025"/>
          <a:ext cx="7184834" cy="384449"/>
        </a:xfrm>
        <a:prstGeom prst="rect">
          <a:avLst/>
        </a:prstGeom>
        <a:noFill/>
        <a:ln/>
      </xdr:spPr>
      <xdr:txBody>
        <a:bodyPr wrap="square" lIns="0" tIns="0" rIns="0" bIns="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900" b="1">
              <a:latin typeface="Calibri" pitchFamily="34" charset="0"/>
              <a:ea typeface="Calibri" pitchFamily="34" charset="-122"/>
              <a:cs typeface="Calibri" pitchFamily="34" charset="-120"/>
            </a:rPr>
            <a:t>ORIGEM E TIPOLOGIA DAS DEMANDAS</a:t>
          </a:r>
          <a:endParaRPr lang="en-US" sz="900"/>
        </a:p>
      </xdr:txBody>
    </xdr:sp>
    <xdr:clientData/>
  </xdr:twoCellAnchor>
  <xdr:twoCellAnchor>
    <xdr:from>
      <xdr:col>5</xdr:col>
      <xdr:colOff>581026</xdr:colOff>
      <xdr:row>113</xdr:row>
      <xdr:rowOff>100011</xdr:rowOff>
    </xdr:from>
    <xdr:to>
      <xdr:col>8</xdr:col>
      <xdr:colOff>104775</xdr:colOff>
      <xdr:row>128</xdr:row>
      <xdr:rowOff>85724</xdr:rowOff>
    </xdr:to>
    <xdr:graphicFrame macro="">
      <xdr:nvGraphicFramePr>
        <xdr:cNvPr id="8" name="Gráfico 7">
          <a:extLst>
            <a:ext uri="{FF2B5EF4-FFF2-40B4-BE49-F238E27FC236}">
              <a16:creationId xmlns:a16="http://schemas.microsoft.com/office/drawing/2014/main" id="{30B5053C-D0DE-552A-FD8B-B6CD2317C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s-ems\DTEC\DESC\CGCP\PROCESSOS\14-%20CENTRAL%20DO%20CLIENTE\BOLETINS\BASE%20CENTRAL%20-%20Geral.xlsx" TargetMode="External"/><Relationship Id="rId1" Type="http://schemas.openxmlformats.org/officeDocument/2006/relationships/externalLinkPath" Target="file:///\\fs-ems\DTEC\DESC\CGCP\PROCESSOS\14-%20CENTRAL%20DO%20CLIENTE\BOLETINS\BASE%20CENTRAL%20-%20Ger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o DEOP"/>
      <sheetName val="resumo geral"/>
      <sheetName val="Clientes - Outliers"/>
      <sheetName val="base geral"/>
      <sheetName val="QUALIDADE"/>
      <sheetName val="municipios"/>
    </sheetNames>
    <sheetDataSet>
      <sheetData sheetId="0"/>
      <sheetData sheetId="1"/>
      <sheetData sheetId="2"/>
      <sheetData sheetId="3"/>
      <sheetData sheetId="4"/>
      <sheetData sheetId="5">
        <row r="1">
          <cell r="B1" t="str">
            <v>LOCALIDADE2</v>
          </cell>
          <cell r="C1" t="str">
            <v>REGIONAL</v>
          </cell>
          <cell r="D1" t="str">
            <v>BASE</v>
          </cell>
        </row>
        <row r="2">
          <cell r="B2" t="str">
            <v>ÁGUA CLARA</v>
          </cell>
          <cell r="C2" t="str">
            <v>CENTRO</v>
          </cell>
          <cell r="D2" t="str">
            <v>CAMPO GRANDE INTERIOR</v>
          </cell>
        </row>
        <row r="3">
          <cell r="B3" t="str">
            <v>ALCINÓPOLIS</v>
          </cell>
          <cell r="C3" t="str">
            <v>NORTE</v>
          </cell>
          <cell r="D3" t="str">
            <v>COSTA RICA</v>
          </cell>
        </row>
        <row r="4">
          <cell r="B4" t="str">
            <v>AMAMBAI</v>
          </cell>
          <cell r="C4" t="str">
            <v>SUL</v>
          </cell>
          <cell r="D4" t="str">
            <v>PONTA PORA</v>
          </cell>
        </row>
        <row r="5">
          <cell r="B5" t="str">
            <v>ANASTÁCIO</v>
          </cell>
          <cell r="C5" t="str">
            <v>NORTE</v>
          </cell>
          <cell r="D5" t="str">
            <v>AQUIDAUANA</v>
          </cell>
        </row>
        <row r="6">
          <cell r="B6" t="str">
            <v>ANGÉLICA</v>
          </cell>
          <cell r="C6" t="str">
            <v>SUL</v>
          </cell>
          <cell r="D6" t="str">
            <v>NOVA ANDRADINA</v>
          </cell>
        </row>
        <row r="7">
          <cell r="B7" t="str">
            <v>ANTÔNIO JOÃO</v>
          </cell>
          <cell r="C7" t="str">
            <v>SUL</v>
          </cell>
          <cell r="D7" t="str">
            <v>PONTA PORA</v>
          </cell>
        </row>
        <row r="8">
          <cell r="B8" t="str">
            <v>APARECIDA DO TABOADO</v>
          </cell>
          <cell r="C8" t="str">
            <v>CENTRO</v>
          </cell>
          <cell r="D8" t="str">
            <v>PARANAIBA</v>
          </cell>
        </row>
        <row r="9">
          <cell r="B9" t="str">
            <v>AQUIDAUANA</v>
          </cell>
          <cell r="C9" t="str">
            <v>NORTE</v>
          </cell>
          <cell r="D9" t="str">
            <v>AQUIDAUANA</v>
          </cell>
        </row>
        <row r="10">
          <cell r="B10" t="str">
            <v>ARAL MOREIRA</v>
          </cell>
          <cell r="C10" t="str">
            <v>SUL</v>
          </cell>
          <cell r="D10" t="str">
            <v>PONTA PORA</v>
          </cell>
        </row>
        <row r="11">
          <cell r="B11" t="str">
            <v>BANDEIRANTES</v>
          </cell>
          <cell r="C11" t="str">
            <v>CENTRO</v>
          </cell>
          <cell r="D11" t="str">
            <v>CAMPO GRANDE INTERIOR</v>
          </cell>
        </row>
        <row r="12">
          <cell r="B12" t="str">
            <v>BATAGUASSU</v>
          </cell>
          <cell r="C12" t="str">
            <v>SUL</v>
          </cell>
          <cell r="D12" t="str">
            <v>NOVA ANDRADINA</v>
          </cell>
        </row>
        <row r="13">
          <cell r="B13" t="str">
            <v>BATAYPORÃ</v>
          </cell>
          <cell r="C13" t="str">
            <v>SUL</v>
          </cell>
          <cell r="D13" t="str">
            <v>NOVA ANDRADINA</v>
          </cell>
        </row>
        <row r="14">
          <cell r="B14" t="str">
            <v>BELA VISTA</v>
          </cell>
          <cell r="C14" t="str">
            <v>NORTE</v>
          </cell>
          <cell r="D14" t="str">
            <v>JARDIM</v>
          </cell>
        </row>
        <row r="15">
          <cell r="B15" t="str">
            <v>BODOQUENA</v>
          </cell>
          <cell r="C15" t="str">
            <v>NORTE</v>
          </cell>
          <cell r="D15" t="str">
            <v>AQUIDAUANA</v>
          </cell>
        </row>
        <row r="16">
          <cell r="B16" t="str">
            <v>BONITO</v>
          </cell>
          <cell r="C16" t="str">
            <v>NORTE</v>
          </cell>
          <cell r="D16" t="str">
            <v>JARDIM</v>
          </cell>
        </row>
        <row r="17">
          <cell r="B17" t="str">
            <v>CAARAPÓ</v>
          </cell>
          <cell r="C17" t="str">
            <v>SUL</v>
          </cell>
          <cell r="D17" t="str">
            <v>DOURADOS</v>
          </cell>
        </row>
        <row r="18">
          <cell r="B18" t="str">
            <v>CAMAPUÃ</v>
          </cell>
          <cell r="C18" t="str">
            <v>CENTRO</v>
          </cell>
          <cell r="D18" t="str">
            <v>CAMPO GRANDE INTERIOR</v>
          </cell>
        </row>
        <row r="19">
          <cell r="B19" t="str">
            <v>CAMPO GRANDE</v>
          </cell>
          <cell r="C19" t="str">
            <v>CENTRO</v>
          </cell>
          <cell r="D19" t="str">
            <v>CAMPO GRANDE</v>
          </cell>
        </row>
        <row r="20">
          <cell r="B20" t="str">
            <v>CARACOL</v>
          </cell>
          <cell r="C20" t="str">
            <v>NORTE</v>
          </cell>
          <cell r="D20" t="str">
            <v>JARDIM</v>
          </cell>
        </row>
        <row r="21">
          <cell r="B21" t="str">
            <v>CASSILÂNDIA</v>
          </cell>
          <cell r="C21" t="str">
            <v>CENTRO</v>
          </cell>
          <cell r="D21" t="str">
            <v>PARANAIBA</v>
          </cell>
        </row>
        <row r="22">
          <cell r="B22" t="str">
            <v>CHAPADÃO DO SUL</v>
          </cell>
          <cell r="C22" t="str">
            <v>NORTE</v>
          </cell>
          <cell r="D22" t="str">
            <v>COSTA RICA</v>
          </cell>
        </row>
        <row r="23">
          <cell r="B23" t="str">
            <v>CORGUINHO</v>
          </cell>
          <cell r="C23" t="str">
            <v>CENTRO</v>
          </cell>
          <cell r="D23" t="str">
            <v>CAMPO GRANDE INTERIOR</v>
          </cell>
        </row>
        <row r="24">
          <cell r="B24" t="str">
            <v>CORONEL SAPUCAIA</v>
          </cell>
          <cell r="C24" t="str">
            <v>SUL</v>
          </cell>
          <cell r="D24" t="str">
            <v>PONTA PORA</v>
          </cell>
        </row>
        <row r="25">
          <cell r="B25" t="str">
            <v>CORUMBÁ</v>
          </cell>
          <cell r="C25" t="str">
            <v>NORTE</v>
          </cell>
          <cell r="D25" t="str">
            <v>CORUMBA</v>
          </cell>
        </row>
        <row r="26">
          <cell r="B26" t="str">
            <v>COSTA RICA</v>
          </cell>
          <cell r="C26" t="str">
            <v>NORTE</v>
          </cell>
          <cell r="D26" t="str">
            <v>COSTA RICA</v>
          </cell>
        </row>
        <row r="27">
          <cell r="B27" t="str">
            <v>COXIM</v>
          </cell>
          <cell r="C27" t="str">
            <v>NORTE</v>
          </cell>
          <cell r="D27" t="str">
            <v>COXIM</v>
          </cell>
        </row>
        <row r="28">
          <cell r="B28" t="str">
            <v>DEODÁPOLIS</v>
          </cell>
          <cell r="C28" t="str">
            <v>SUL</v>
          </cell>
          <cell r="D28" t="str">
            <v>NOVA ANDRADINA</v>
          </cell>
        </row>
        <row r="29">
          <cell r="B29" t="str">
            <v>DOIS IRMÃOS DO BURITI</v>
          </cell>
          <cell r="C29" t="str">
            <v>NORTE</v>
          </cell>
          <cell r="D29" t="str">
            <v>AQUIDAUANA</v>
          </cell>
        </row>
        <row r="30">
          <cell r="B30" t="str">
            <v>DOURADINA</v>
          </cell>
          <cell r="C30" t="str">
            <v>SUL</v>
          </cell>
          <cell r="D30" t="str">
            <v>DOURADOS</v>
          </cell>
        </row>
        <row r="31">
          <cell r="B31" t="str">
            <v>DOURADOS</v>
          </cell>
          <cell r="C31" t="str">
            <v>SUL</v>
          </cell>
          <cell r="D31" t="str">
            <v>DOURADOS</v>
          </cell>
        </row>
        <row r="32">
          <cell r="B32" t="str">
            <v>ELDORADO</v>
          </cell>
          <cell r="C32" t="str">
            <v>SUL</v>
          </cell>
          <cell r="D32" t="str">
            <v>NAVIRAI</v>
          </cell>
        </row>
        <row r="33">
          <cell r="B33" t="str">
            <v>FÁTIMA DO SUL</v>
          </cell>
          <cell r="C33" t="str">
            <v>SUL</v>
          </cell>
          <cell r="D33" t="str">
            <v>RIO BRILHANTE</v>
          </cell>
        </row>
        <row r="34">
          <cell r="B34" t="str">
            <v>FIGUEIRÃO</v>
          </cell>
          <cell r="C34" t="str">
            <v>NORTE</v>
          </cell>
          <cell r="D34" t="str">
            <v>COSTA RICA</v>
          </cell>
        </row>
        <row r="35">
          <cell r="B35" t="str">
            <v>GLÓRIA DE DOURADOS</v>
          </cell>
          <cell r="C35" t="str">
            <v>SUL</v>
          </cell>
          <cell r="D35" t="str">
            <v>NOVA ANDRADINA</v>
          </cell>
        </row>
        <row r="36">
          <cell r="B36" t="str">
            <v>GUIA LOPES DA LAGUNA</v>
          </cell>
          <cell r="C36" t="str">
            <v>NORTE</v>
          </cell>
          <cell r="D36" t="str">
            <v>JARDIM</v>
          </cell>
        </row>
        <row r="37">
          <cell r="B37" t="str">
            <v>IGUATEMI</v>
          </cell>
          <cell r="C37" t="str">
            <v>SUL</v>
          </cell>
          <cell r="D37" t="str">
            <v>NAVIRAI</v>
          </cell>
        </row>
        <row r="38">
          <cell r="B38" t="str">
            <v>INOCÊNCIA</v>
          </cell>
          <cell r="C38" t="str">
            <v>CENTRO</v>
          </cell>
          <cell r="D38" t="str">
            <v>PARANAIBA</v>
          </cell>
        </row>
        <row r="39">
          <cell r="B39" t="str">
            <v>ITAPORÃ</v>
          </cell>
          <cell r="C39" t="str">
            <v>SUL</v>
          </cell>
          <cell r="D39" t="str">
            <v>DOURADOS</v>
          </cell>
        </row>
        <row r="40">
          <cell r="B40" t="str">
            <v>ITAQUIRAÍ</v>
          </cell>
          <cell r="C40" t="str">
            <v>SUL</v>
          </cell>
          <cell r="D40" t="str">
            <v>NAVIRAI</v>
          </cell>
        </row>
        <row r="41">
          <cell r="B41" t="str">
            <v>IVINHEMA</v>
          </cell>
          <cell r="C41" t="str">
            <v>SUL</v>
          </cell>
          <cell r="D41" t="str">
            <v>NOVA ANDRADINA</v>
          </cell>
        </row>
        <row r="42">
          <cell r="B42" t="str">
            <v>JAPORÃ</v>
          </cell>
          <cell r="C42" t="str">
            <v>SUL</v>
          </cell>
          <cell r="D42" t="str">
            <v>NAVIRAI</v>
          </cell>
        </row>
        <row r="43">
          <cell r="B43" t="str">
            <v>JARAGUARI</v>
          </cell>
          <cell r="C43" t="str">
            <v>CENTRO</v>
          </cell>
          <cell r="D43" t="str">
            <v>CAMPO GRANDE INTERIOR</v>
          </cell>
        </row>
        <row r="44">
          <cell r="B44" t="str">
            <v>JARDIM</v>
          </cell>
          <cell r="C44" t="str">
            <v>NORTE</v>
          </cell>
          <cell r="D44" t="str">
            <v>JARDIM</v>
          </cell>
        </row>
        <row r="45">
          <cell r="B45" t="str">
            <v>JATEÍ</v>
          </cell>
          <cell r="C45" t="str">
            <v>SUL</v>
          </cell>
          <cell r="D45" t="str">
            <v>DOURADOS</v>
          </cell>
        </row>
        <row r="46">
          <cell r="B46" t="str">
            <v>JUTI</v>
          </cell>
          <cell r="C46" t="str">
            <v>SUL</v>
          </cell>
          <cell r="D46" t="str">
            <v>DOURADOS</v>
          </cell>
        </row>
        <row r="47">
          <cell r="B47" t="str">
            <v>LADÁRIO</v>
          </cell>
          <cell r="C47" t="str">
            <v>NORTE</v>
          </cell>
          <cell r="D47" t="str">
            <v>CORUMBA</v>
          </cell>
        </row>
        <row r="48">
          <cell r="B48" t="str">
            <v>LAGUNA CARAPÃ</v>
          </cell>
          <cell r="C48" t="str">
            <v>SUL</v>
          </cell>
          <cell r="D48" t="str">
            <v>PONTA PORA</v>
          </cell>
        </row>
        <row r="49">
          <cell r="B49" t="str">
            <v>MARACAJU</v>
          </cell>
          <cell r="C49" t="str">
            <v>SUL</v>
          </cell>
          <cell r="D49" t="str">
            <v>RIO BRILHANTE</v>
          </cell>
        </row>
        <row r="50">
          <cell r="B50" t="str">
            <v>MIRANDA</v>
          </cell>
          <cell r="C50" t="str">
            <v>NORTE</v>
          </cell>
          <cell r="D50" t="str">
            <v>AQUIDAUANA</v>
          </cell>
        </row>
        <row r="51">
          <cell r="B51" t="str">
            <v>MUNDO NOVO</v>
          </cell>
          <cell r="C51" t="str">
            <v>SUL</v>
          </cell>
          <cell r="D51" t="str">
            <v>NAVIRAI</v>
          </cell>
        </row>
        <row r="52">
          <cell r="B52" t="str">
            <v>NAVIRAÍ</v>
          </cell>
          <cell r="C52" t="str">
            <v>SUL</v>
          </cell>
          <cell r="D52" t="str">
            <v>NAVIRAI</v>
          </cell>
        </row>
        <row r="53">
          <cell r="B53" t="str">
            <v>NIOAQUE</v>
          </cell>
          <cell r="C53" t="str">
            <v>NORTE</v>
          </cell>
          <cell r="D53" t="str">
            <v>JARDIM</v>
          </cell>
        </row>
        <row r="54">
          <cell r="B54" t="str">
            <v>NOVA ALVORADA DO SUL</v>
          </cell>
          <cell r="C54" t="str">
            <v>SUL</v>
          </cell>
          <cell r="D54" t="str">
            <v>RIO BRILHANTE</v>
          </cell>
        </row>
        <row r="55">
          <cell r="B55" t="str">
            <v>NOVA ANDRADINA</v>
          </cell>
          <cell r="C55" t="str">
            <v>SUL</v>
          </cell>
          <cell r="D55" t="str">
            <v>NOVA ANDRADINA</v>
          </cell>
        </row>
        <row r="56">
          <cell r="B56" t="str">
            <v>NOVO HORIZONTE DO SUL</v>
          </cell>
          <cell r="C56" t="str">
            <v>SUL</v>
          </cell>
          <cell r="D56" t="str">
            <v>NOVA ANDRADINA</v>
          </cell>
        </row>
        <row r="57">
          <cell r="B57" t="str">
            <v>PARAÍSO DAS ÁGUAS</v>
          </cell>
          <cell r="C57" t="str">
            <v>CENTRO</v>
          </cell>
          <cell r="D57" t="str">
            <v>COSTA RICA</v>
          </cell>
        </row>
        <row r="58">
          <cell r="B58" t="str">
            <v>PARANAÍBA</v>
          </cell>
          <cell r="C58" t="str">
            <v>CENTRO</v>
          </cell>
          <cell r="D58" t="str">
            <v>PARANAIBA</v>
          </cell>
        </row>
        <row r="59">
          <cell r="B59" t="str">
            <v>PARANHOS</v>
          </cell>
          <cell r="C59" t="str">
            <v>SUL</v>
          </cell>
          <cell r="D59" t="str">
            <v>NAVIRAI</v>
          </cell>
        </row>
        <row r="60">
          <cell r="B60" t="str">
            <v>PEDRO GOMES</v>
          </cell>
          <cell r="C60" t="str">
            <v>NORTE</v>
          </cell>
          <cell r="D60" t="str">
            <v>COXIM</v>
          </cell>
        </row>
        <row r="61">
          <cell r="B61" t="str">
            <v>PONTA PORÃ</v>
          </cell>
          <cell r="C61" t="str">
            <v>SUL</v>
          </cell>
          <cell r="D61" t="str">
            <v>PONTA PORA</v>
          </cell>
        </row>
        <row r="62">
          <cell r="B62" t="str">
            <v>PORTO MURTINHO</v>
          </cell>
          <cell r="C62" t="str">
            <v>NORTE</v>
          </cell>
          <cell r="D62" t="str">
            <v>JARDIM</v>
          </cell>
        </row>
        <row r="63">
          <cell r="B63" t="str">
            <v>RIBAS DO RIO PARDO</v>
          </cell>
          <cell r="C63" t="str">
            <v>CENTRO</v>
          </cell>
          <cell r="D63" t="str">
            <v>CAMPO GRANDE INTERIOR</v>
          </cell>
        </row>
        <row r="64">
          <cell r="B64" t="str">
            <v>RIO BRILHANTE</v>
          </cell>
          <cell r="C64" t="str">
            <v>SUL</v>
          </cell>
          <cell r="D64" t="str">
            <v>RIO BRILHANTE</v>
          </cell>
        </row>
        <row r="65">
          <cell r="B65" t="str">
            <v>RIO NEGRO</v>
          </cell>
          <cell r="C65" t="str">
            <v>NORTE</v>
          </cell>
          <cell r="D65" t="str">
            <v>COXIM</v>
          </cell>
        </row>
        <row r="66">
          <cell r="B66" t="str">
            <v>RIO VERDE DE MATO GROSSO</v>
          </cell>
          <cell r="C66" t="str">
            <v>NORTE</v>
          </cell>
          <cell r="D66" t="str">
            <v>COXIM</v>
          </cell>
        </row>
        <row r="67">
          <cell r="B67" t="str">
            <v>ROCHEDO</v>
          </cell>
          <cell r="C67" t="str">
            <v>CENTRO</v>
          </cell>
          <cell r="D67" t="str">
            <v>CAMPO GRANDE INTERIOR</v>
          </cell>
        </row>
        <row r="68">
          <cell r="B68" t="str">
            <v>SÃO GABRIEL DO OESTE</v>
          </cell>
          <cell r="C68" t="str">
            <v>NORTE</v>
          </cell>
          <cell r="D68" t="str">
            <v>COXIM</v>
          </cell>
        </row>
        <row r="69">
          <cell r="B69" t="str">
            <v>SETE QUEDAS</v>
          </cell>
          <cell r="C69" t="str">
            <v>SUL</v>
          </cell>
          <cell r="D69" t="str">
            <v>NAVIRAI</v>
          </cell>
        </row>
        <row r="70">
          <cell r="B70" t="str">
            <v>SIDROLÂNDIA</v>
          </cell>
          <cell r="C70" t="str">
            <v>CENTRO</v>
          </cell>
          <cell r="D70" t="str">
            <v>CAMPO GRANDE INTERIOR</v>
          </cell>
        </row>
        <row r="71">
          <cell r="B71" t="str">
            <v>SONORA</v>
          </cell>
          <cell r="C71" t="str">
            <v>NORTE</v>
          </cell>
          <cell r="D71" t="str">
            <v>COXIM</v>
          </cell>
        </row>
        <row r="72">
          <cell r="B72" t="str">
            <v>TACURU</v>
          </cell>
          <cell r="C72" t="str">
            <v>SUL</v>
          </cell>
          <cell r="D72" t="str">
            <v>NAVIRAI</v>
          </cell>
        </row>
        <row r="73">
          <cell r="B73" t="str">
            <v>TAQUARUSSU</v>
          </cell>
          <cell r="C73" t="str">
            <v>SUL</v>
          </cell>
          <cell r="D73" t="str">
            <v>NOVA ANDRADINA</v>
          </cell>
        </row>
        <row r="74">
          <cell r="B74" t="str">
            <v>TERENOS</v>
          </cell>
          <cell r="C74" t="str">
            <v>CENTRO</v>
          </cell>
          <cell r="D74" t="str">
            <v>CAMPO GRANDE INTERIOR</v>
          </cell>
        </row>
        <row r="75">
          <cell r="B75" t="str">
            <v>VICENTINA</v>
          </cell>
          <cell r="C75" t="str">
            <v>SUL</v>
          </cell>
          <cell r="D75" t="str">
            <v>NOVA ANDRADINA</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ne da Silva Mesquita" refreshedDate="46286.505976273147" createdVersion="8" refreshedVersion="8" minRefreshableVersion="3" recordCount="198" xr:uid="{AE26B474-3340-42F9-970E-256A5F987FB5}">
  <cacheSource type="worksheet">
    <worksheetSource ref="A1:AT199" sheet="DOMO"/>
  </cacheSource>
  <cacheFields count="46">
    <cacheField name="ID" numFmtId="0">
      <sharedItems/>
    </cacheField>
    <cacheField name="Origem" numFmtId="0">
      <sharedItems/>
    </cacheField>
    <cacheField name="Tipologia" numFmtId="0">
      <sharedItems containsBlank="1" count="10">
        <s v="Obra"/>
        <s v="Atendimento Comercial"/>
        <s v="Qualidade"/>
        <s v="Manutenção"/>
        <s v="Informação"/>
        <s v="Poda"/>
        <s v="Vazio"/>
        <s v="Ordem de Serviço"/>
        <s v="Projeto Elétrico"/>
        <m u="1"/>
      </sharedItems>
    </cacheField>
    <cacheField name="Area" numFmtId="0">
      <sharedItems/>
    </cacheField>
    <cacheField name="Data_Manifestacao" numFmtId="14">
      <sharedItems containsSemiMixedTypes="0" containsNonDate="0" containsDate="1" containsString="0" minDate="2025-11-19T00:00:00" maxDate="2026-10-01T00:00:00"/>
    </cacheField>
    <cacheField name="Agente" numFmtId="0">
      <sharedItems/>
    </cacheField>
    <cacheField name="Status_Solicitação" numFmtId="0">
      <sharedItems/>
    </cacheField>
    <cacheField name="Status_Acao" numFmtId="0">
      <sharedItems containsBlank="1" count="5">
        <s v="Em Andamento"/>
        <s v="Finalizada"/>
        <s v="Não Iniciada"/>
        <s v="Devolvido"/>
        <m u="1"/>
      </sharedItems>
    </cacheField>
    <cacheField name="Cliente" numFmtId="0">
      <sharedItems/>
    </cacheField>
    <cacheField name="UC" numFmtId="0">
      <sharedItems/>
    </cacheField>
    <cacheField name="Obra_Const_Man" numFmtId="0">
      <sharedItems/>
    </cacheField>
    <cacheField name="Regional" numFmtId="0">
      <sharedItems/>
    </cacheField>
    <cacheField name="Localidade" numFmtId="0">
      <sharedItems/>
    </cacheField>
    <cacheField name="Poder" numFmtId="0">
      <sharedItems/>
    </cacheField>
    <cacheField name="Prefeitura" numFmtId="0">
      <sharedItems/>
    </cacheField>
    <cacheField name="Manifestação" numFmtId="0">
      <sharedItems longText="1"/>
    </cacheField>
    <cacheField name="Data_Envio_Area" numFmtId="0">
      <sharedItems containsNonDate="0" containsDate="1" containsString="0" containsBlank="1" minDate="2026-05-04T00:00:00" maxDate="2026-09-19T00:00:00"/>
    </cacheField>
    <cacheField name="Descricao_da_acao" numFmtId="0">
      <sharedItems containsBlank="1" longText="1"/>
    </cacheField>
    <cacheField name="Data_Resp_Area" numFmtId="0">
      <sharedItems containsNonDate="0" containsDate="1" containsString="0" containsBlank="1" minDate="2026-05-12T00:00:00" maxDate="2026-09-18T00:00:00"/>
    </cacheField>
    <cacheField name="Resposta_Area" numFmtId="0">
      <sharedItems containsBlank="1" longText="1"/>
    </cacheField>
    <cacheField name="Expectativa_Cliente" numFmtId="0">
      <sharedItems containsNonDate="0" containsDate="1" containsString="0" containsBlank="1" minDate="2026-03-31T00:00:00" maxDate="2027-04-23T00:00:00"/>
    </cacheField>
    <cacheField name="Data_Prev_Acao" numFmtId="0">
      <sharedItems containsNonDate="0" containsDate="1" containsString="0" containsBlank="1" minDate="2026-05-05T00:00:00" maxDate="2026-10-15T00:00:00"/>
    </cacheField>
    <cacheField name="Data_Conclusao" numFmtId="0">
      <sharedItems containsNonDate="0" containsDate="1" containsString="0" containsBlank="1" minDate="2026-03-30T00:00:00" maxDate="2026-09-12T00:00:00"/>
    </cacheField>
    <cacheField name="Resp_Tratativa" numFmtId="0">
      <sharedItems/>
    </cacheField>
    <cacheField name="Registrado_por" numFmtId="0">
      <sharedItems/>
    </cacheField>
    <cacheField name="Participantes_Municipio" numFmtId="0">
      <sharedItems containsBlank="1"/>
    </cacheField>
    <cacheField name="Participantes_Energisa_txt" numFmtId="0">
      <sharedItems/>
    </cacheField>
    <cacheField name="Critico" numFmtId="0">
      <sharedItems/>
    </cacheField>
    <cacheField name="Acao" numFmtId="0">
      <sharedItems/>
    </cacheField>
    <cacheField name="Modificado" numFmtId="14">
      <sharedItems containsSemiMixedTypes="0" containsNonDate="0" containsDate="1" containsString="0" minDate="2026-08-15T00:00:00" maxDate="2026-09-19T00:00:00"/>
    </cacheField>
    <cacheField name="Modificado por.title" numFmtId="0">
      <sharedItems/>
    </cacheField>
    <cacheField name="Criado" numFmtId="14">
      <sharedItems containsSemiMixedTypes="0" containsNonDate="0" containsDate="1" containsString="0" minDate="2026-05-12T00:00:00" maxDate="2026-09-19T00:00:00"/>
    </cacheField>
    <cacheField name="Criado por.title" numFmtId="0">
      <sharedItems/>
    </cacheField>
    <cacheField name="Peso_I_INST" numFmtId="1">
      <sharedItems containsSemiMixedTypes="0" containsString="0" containsNumber="1" containsInteger="1" minValue="25" maxValue="100"/>
    </cacheField>
    <cacheField name="Peso_I_INST_2" numFmtId="1">
      <sharedItems containsSemiMixedTypes="0" containsString="0" containsNumber="1" containsInteger="1" minValue="25" maxValue="100"/>
    </cacheField>
    <cacheField name="Peso_Geral" numFmtId="3">
      <sharedItems containsSemiMixedTypes="0" containsString="0" containsNumber="1" minValue="12.5" maxValue="100"/>
    </cacheField>
    <cacheField name="Processo" numFmtId="0">
      <sharedItems/>
    </cacheField>
    <cacheField name="Previsao" numFmtId="0">
      <sharedItems containsNonDate="0" containsString="0" containsBlank="1"/>
    </cacheField>
    <cacheField name="Sub_Areas" numFmtId="0">
      <sharedItems/>
    </cacheField>
    <cacheField name="Supervisão" numFmtId="0">
      <sharedItems/>
    </cacheField>
    <cacheField name="dias das soliictações" numFmtId="2">
      <sharedItems containsSemiMixedTypes="0" containsString="0" containsNumber="1" minValue="-9" maxValue="306"/>
    </cacheField>
    <cacheField name="aging" numFmtId="2">
      <sharedItems/>
    </cacheField>
    <cacheField name="Expectativa" numFmtId="0">
      <sharedItems/>
    </cacheField>
    <cacheField name="Risco" numFmtId="0">
      <sharedItems/>
    </cacheField>
    <cacheField name="Integrar" numFmtId="2">
      <sharedItems/>
    </cacheField>
    <cacheField name="SLA" numFmtId="0">
      <sharedItems containsSemiMixedTypes="0" containsString="0" containsNumber="1" containsInteger="1" minValue="0" maxValue="4625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ne da Silva Mesquita" refreshedDate="46286.522445949071" createdVersion="8" refreshedVersion="8" minRefreshableVersion="3" recordCount="215" xr:uid="{4925D0DC-418A-4C5B-AE1B-2B60535B701E}">
  <cacheSource type="worksheet">
    <worksheetSource ref="A1:AU2000" sheet="DOMO"/>
  </cacheSource>
  <cacheFields count="47">
    <cacheField name="ID" numFmtId="0">
      <sharedItems containsBlank="1"/>
    </cacheField>
    <cacheField name="Origem" numFmtId="0">
      <sharedItems containsBlank="1"/>
    </cacheField>
    <cacheField name="Tipologia" numFmtId="0">
      <sharedItems containsBlank="1" count="10">
        <s v="Obra"/>
        <s v="Atendimento Comercial"/>
        <s v="Qualidade"/>
        <s v="Manutenção"/>
        <s v="Informação"/>
        <s v="Poda"/>
        <s v="Vazio"/>
        <s v="Ordem de Serviço"/>
        <s v="Projeto Elétrico"/>
        <m/>
      </sharedItems>
    </cacheField>
    <cacheField name="Area" numFmtId="0">
      <sharedItems containsBlank="1" count="9">
        <s v="DCMD"/>
        <s v="DESC"/>
        <s v="DEOP"/>
        <s v="Central do Cliente"/>
        <s v="Vazio"/>
        <s v="Atendimento"/>
        <s v="ASPO"/>
        <s v="DEMT"/>
        <m/>
      </sharedItems>
    </cacheField>
    <cacheField name="Data_Manifestacao" numFmtId="0">
      <sharedItems containsNonDate="0" containsDate="1" containsString="0" containsBlank="1" minDate="2025-11-19T00:00:00" maxDate="2026-10-01T00:00:00"/>
    </cacheField>
    <cacheField name="Agente" numFmtId="0">
      <sharedItems containsBlank="1"/>
    </cacheField>
    <cacheField name="Status_Solicitação" numFmtId="0">
      <sharedItems containsBlank="1"/>
    </cacheField>
    <cacheField name="Status_Acao" numFmtId="0">
      <sharedItems containsBlank="1" count="5">
        <s v="Em Andamento"/>
        <s v="Finalizada"/>
        <s v="Não Iniciada"/>
        <s v="Devolvido"/>
        <m/>
      </sharedItems>
    </cacheField>
    <cacheField name="Cliente" numFmtId="0">
      <sharedItems containsBlank="1"/>
    </cacheField>
    <cacheField name="UC" numFmtId="0">
      <sharedItems containsBlank="1"/>
    </cacheField>
    <cacheField name="Obra_Const_Man" numFmtId="0">
      <sharedItems containsBlank="1"/>
    </cacheField>
    <cacheField name="Regional" numFmtId="0">
      <sharedItems containsBlank="1" count="5">
        <s v="SUL"/>
        <s v="CENTRO"/>
        <s v="NORTE"/>
        <s v=""/>
        <m/>
      </sharedItems>
    </cacheField>
    <cacheField name="Localidade" numFmtId="0">
      <sharedItems containsBlank="1" count="52">
        <s v="Coronel Sapucaia"/>
        <s v="Maracaju"/>
        <s v="Aral Moreira"/>
        <s v="Paraíso das Águas"/>
        <s v="Corumbá"/>
        <s v="Antônio João"/>
        <s v="Tacuru"/>
        <s v="Campo Grande"/>
        <s v="Bataguassu"/>
        <s v="Itaquiraí"/>
        <s v="Miranda"/>
        <s v="Ribas do Rio Pardo"/>
        <s v="Coxim"/>
        <s v="Dourados"/>
        <s v="Caarapó"/>
        <s v="Bandeirantes"/>
        <s v="Aparecida do Taboado"/>
        <s v="Laguna Carapã"/>
        <s v="Amambai"/>
        <s v="Ivinhema"/>
        <s v="Rio Brilhante"/>
        <s v="ELDORADO"/>
        <s v="Ponta Porã"/>
        <s v="Jardim"/>
        <s v="Inocência"/>
        <s v="Angélica"/>
        <s v="Fátima do Sul"/>
        <s v="Corguinho"/>
        <s v="Batayporã"/>
        <s v="Dois Irmãos do Buriti"/>
        <s v="Paranaíba"/>
        <s v="Terenos"/>
        <s v="Sidrolândia"/>
        <s v="Jateí"/>
        <s v="Rio Negro"/>
        <s v="Vicentina"/>
        <s v="Deodápolis"/>
        <s v="Jaraguari"/>
        <s v="Nova Alvorada do Sul"/>
        <s v=""/>
        <s v="Iguatemi"/>
        <s v="Mundo Novo"/>
        <s v="Anastácio"/>
        <s v="Costa Rica"/>
        <s v="Rochedo"/>
        <s v="Nioaque"/>
        <s v="BONITO"/>
        <s v="Alcinópolis"/>
        <s v="Glória de Dourados"/>
        <s v="Bela Vista"/>
        <s v="Aquidauana"/>
        <m/>
      </sharedItems>
    </cacheField>
    <cacheField name="Poder" numFmtId="0">
      <sharedItems containsBlank="1" count="7">
        <s v="Prefeitura"/>
        <s v="Diretoria"/>
        <s v="Câmara"/>
        <s v="Assembleia Legislativa"/>
        <s v="Governo do Estado"/>
        <s v="Mídia"/>
        <m/>
      </sharedItems>
    </cacheField>
    <cacheField name="Prefeitura" numFmtId="0">
      <sharedItems containsBlank="1"/>
    </cacheField>
    <cacheField name="Manifestação" numFmtId="0">
      <sharedItems containsBlank="1" longText="1"/>
    </cacheField>
    <cacheField name="Data_Envio_Area" numFmtId="0">
      <sharedItems containsNonDate="0" containsDate="1" containsString="0" containsBlank="1" minDate="2026-05-04T00:00:00" maxDate="2026-09-19T00:00:00"/>
    </cacheField>
    <cacheField name="Descricao_da_acao" numFmtId="0">
      <sharedItems containsBlank="1" longText="1"/>
    </cacheField>
    <cacheField name="Data_Resp_Area" numFmtId="0">
      <sharedItems containsNonDate="0" containsDate="1" containsString="0" containsBlank="1" minDate="2026-05-06T00:00:00" maxDate="2026-09-18T00:00:00"/>
    </cacheField>
    <cacheField name="Resposta_Area" numFmtId="0">
      <sharedItems containsBlank="1" longText="1"/>
    </cacheField>
    <cacheField name="Expectativa_Cliente" numFmtId="0">
      <sharedItems containsNonDate="0" containsDate="1" containsString="0" containsBlank="1" minDate="2026-03-31T00:00:00" maxDate="2027-04-23T00:00:00"/>
    </cacheField>
    <cacheField name="Data_Prev_Acao" numFmtId="0">
      <sharedItems containsNonDate="0" containsDate="1" containsString="0" containsBlank="1" minDate="2026-05-05T00:00:00" maxDate="2026-10-15T00:00:00"/>
    </cacheField>
    <cacheField name="Data_Conclusao" numFmtId="0">
      <sharedItems containsNonDate="0" containsDate="1" containsString="0" containsBlank="1" minDate="2026-03-30T00:00:00" maxDate="2026-09-12T00:00:00"/>
    </cacheField>
    <cacheField name="Resp_Tratativa" numFmtId="0">
      <sharedItems containsBlank="1"/>
    </cacheField>
    <cacheField name="Registrado_por" numFmtId="0">
      <sharedItems containsBlank="1"/>
    </cacheField>
    <cacheField name="Participantes_Municipio" numFmtId="0">
      <sharedItems containsBlank="1"/>
    </cacheField>
    <cacheField name="Participantes_Energisa_txt" numFmtId="0">
      <sharedItems containsBlank="1"/>
    </cacheField>
    <cacheField name="Critico" numFmtId="0">
      <sharedItems containsBlank="1"/>
    </cacheField>
    <cacheField name="Acao" numFmtId="0">
      <sharedItems containsBlank="1"/>
    </cacheField>
    <cacheField name="Modificado" numFmtId="0">
      <sharedItems containsNonDate="0" containsDate="1" containsString="0" containsBlank="1" minDate="2026-08-15T00:00:00" maxDate="2026-09-19T00:00:00"/>
    </cacheField>
    <cacheField name="Modificado por.title" numFmtId="0">
      <sharedItems containsBlank="1"/>
    </cacheField>
    <cacheField name="Criado" numFmtId="0">
      <sharedItems containsNonDate="0" containsDate="1" containsString="0" containsBlank="1" minDate="2026-05-05T00:00:00" maxDate="2026-09-19T00:00:00"/>
    </cacheField>
    <cacheField name="Criado por.title" numFmtId="0">
      <sharedItems containsBlank="1"/>
    </cacheField>
    <cacheField name="Peso_I_INST" numFmtId="0">
      <sharedItems containsString="0" containsBlank="1" containsNumber="1" containsInteger="1" minValue="25" maxValue="100"/>
    </cacheField>
    <cacheField name="Peso_I_INST_2" numFmtId="0">
      <sharedItems containsString="0" containsBlank="1" containsNumber="1" containsInteger="1" minValue="25" maxValue="100"/>
    </cacheField>
    <cacheField name="Peso_Geral" numFmtId="0">
      <sharedItems containsString="0" containsBlank="1" containsNumber="1" minValue="12.5" maxValue="100"/>
    </cacheField>
    <cacheField name="Processo" numFmtId="0">
      <sharedItems containsBlank="1"/>
    </cacheField>
    <cacheField name="Previsao" numFmtId="0">
      <sharedItems containsNonDate="0" containsString="0" containsBlank="1"/>
    </cacheField>
    <cacheField name="Sub_Areas" numFmtId="0">
      <sharedItems containsBlank="1"/>
    </cacheField>
    <cacheField name="Supervisão" numFmtId="0">
      <sharedItems containsBlank="1" count="15">
        <s v="PONTA PORA"/>
        <s v="RIO BRILHANTE"/>
        <s v="COSTA RICA"/>
        <s v="CORUMBA"/>
        <s v="NAVIRAI"/>
        <s v="CAMPO GRANDE"/>
        <s v="NOVA ANDRADINA"/>
        <s v="AQUIDAUANA"/>
        <s v="CAMPO GRANDE INTERIOR"/>
        <s v="COXIM"/>
        <s v="DOURADOS"/>
        <s v="PARANAIBA"/>
        <s v="JARDIM"/>
        <e v="#N/A"/>
        <m/>
      </sharedItems>
    </cacheField>
    <cacheField name="dias das soliictações" numFmtId="2">
      <sharedItems containsString="0" containsBlank="1" containsNumber="1" minValue="-9" maxValue="306"/>
    </cacheField>
    <cacheField name="aging" numFmtId="2">
      <sharedItems containsBlank="1" count="5">
        <s v="&gt;50 dias"/>
        <s v="30–50 dias"/>
        <s v="0–5 dias"/>
        <s v="6–15 dias"/>
        <m/>
      </sharedItems>
    </cacheField>
    <cacheField name="Expectativa" numFmtId="0">
      <sharedItems containsBlank="1" count="3">
        <s v="Fora"/>
        <s v="Dentro"/>
        <m/>
      </sharedItems>
    </cacheField>
    <cacheField name="Risco" numFmtId="0">
      <sharedItems containsBlank="1" count="3">
        <s v="Não risco"/>
        <s v="Risco"/>
        <m/>
      </sharedItems>
    </cacheField>
    <cacheField name="Integrar" numFmtId="2">
      <sharedItems containsBlank="1" count="3">
        <e v="#VALUE!"/>
        <s v="Sim"/>
        <m/>
      </sharedItems>
    </cacheField>
    <cacheField name="SLA" numFmtId="0">
      <sharedItems containsString="0" containsBlank="1" containsNumber="1" containsInteger="1" minValue="0" maxValue="46259"/>
    </cacheField>
    <cacheField name="Area 2" numFmtId="0">
      <sharedItems containsBlank="1" count="14">
        <s v="DCMD Programação de Obra"/>
        <s v="DESC Agentes de Relacionamento"/>
        <s v="DEOP Qualidade"/>
        <s v="DCMD Manutenção"/>
        <s v="DCMD Orçamento e Projetos"/>
        <s v="Central do Cliente"/>
        <s v="DECP - Ligação GA"/>
        <s v="Institucional"/>
        <s v="DESC Ofícios"/>
        <s v="DEOP COI"/>
        <s v="Atendimento"/>
        <s v="DEMT"/>
        <m/>
        <e v="#N/A"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s v="1008"/>
    <s v="Visita Domo de Ferro"/>
    <x v="0"/>
    <s v="DCMD"/>
    <d v="2026-08-12T00:00:00"/>
    <s v="Monike Chaves"/>
    <s v="Em Andamento"/>
    <x v="0"/>
    <s v=""/>
    <s v=""/>
    <s v="0402600304"/>
    <s v="SUL"/>
    <s v="Coronel Sapucaia"/>
    <s v="Prefeitura"/>
    <s v="Coronel Sapucaia"/>
    <s v="Obra parada precisa remover a estrutura para seguir com a parte interna, prefeitura quer intervir na rede, foi orientando quanto ao risco a segurança, e continuidade do fornecimento. _x000a__x000a_Escola será entregue no dia 02/09/2026 e precisamos que a obra seja atendida antes dessa data."/>
    <d v="2026-08-31T00:00:00"/>
    <s v="0402600304 PROGRAMAR OBRA"/>
    <d v="2026-09-15T00:00:00"/>
    <s v="Reprogramada para 18/09 - devido a contingência"/>
    <d v="2026-09-08T00:00:00"/>
    <d v="2026-09-18T00:00:00"/>
    <m/>
    <s v="Amanda Aparecida Teixeira dos Santos"/>
    <s v="Amanda Santos"/>
    <s v="Thiago Secretario De Administração Prefeitura De Cel Sapucaia"/>
    <s v=""/>
    <s v="Sim"/>
    <s v="Visita Domo de Ferro"/>
    <d v="2026-09-15T00:00:00"/>
    <s v="Amanda Aparecida Teixeira dos Santos"/>
    <d v="2026-09-15T00:00:00"/>
    <s v="Amanda Aparecida Teixeira dos Santos"/>
    <n v="100"/>
    <n v="100"/>
    <n v="100"/>
    <s v=""/>
    <m/>
    <s v=""/>
    <s v="PONTA PORA"/>
    <n v="40"/>
    <s v="&gt;50 dias"/>
    <s v="Fora"/>
    <s v="Não risco"/>
    <e v="#VALUE!"/>
    <n v="15"/>
  </r>
  <r>
    <s v="1009"/>
    <s v="Visita Domo de Ferro"/>
    <x v="0"/>
    <s v="DCMD"/>
    <d v="2026-08-13T00:00:00"/>
    <s v="Monike Chaves"/>
    <s v="Em Andamento"/>
    <x v="0"/>
    <s v=""/>
    <s v=""/>
    <s v="0202601135"/>
    <s v="SUL"/>
    <s v="Maracaju"/>
    <s v="Prefeitura"/>
    <s v="Maracaju"/>
    <s v="Por favor agilizar atendimento da Obra 0202601135. _x000a__x000a_Loteamento Fortaleza III -  objeto das matrículas de no 26830 e 26.833 do Cartório de Registro de Imóveis de Maracaju/MS, em atendimento aos 109 lotes, conforme consta no Projeto Elétrico e croqui da locação dos postes para a extensão da rede."/>
    <d v="2026-08-13T00:00:00"/>
    <s v="Por favor agilizar atendimento da Obra 0202601135. _x000a_Loteamento Fortaleza III -  objeto das matrículas de no 26830 e 26.833 do Cartório de Registro de Imóveis de Maracaju/MS, em atendimento aos 109 lotes, conforme consta no Projeto Elétrico e croqui da locação dos postes para a extensão da rede."/>
    <d v="2026-09-04T00:00:00"/>
    <m/>
    <d v="2026-08-25T00:00:00"/>
    <d v="2026-09-18T00:00:00"/>
    <m/>
    <s v="Amanda Aparecida Teixeira dos Santos"/>
    <s v="Amanda Santos"/>
    <s v="Prefeito Calderan_x000a_Gerente de Obras Ariana"/>
    <s v="Monike Chaves"/>
    <s v="Sim"/>
    <s v="Visita Domo de Ferro"/>
    <d v="2026-09-04T00:00:00"/>
    <s v="Amanda Aparecida Teixeira dos Santos"/>
    <d v="2026-09-04T00:00:00"/>
    <s v="Amanda Aparecida Teixeira dos Santos"/>
    <n v="100"/>
    <n v="100"/>
    <n v="100"/>
    <s v=""/>
    <m/>
    <s v=""/>
    <s v="RIO BRILHANTE"/>
    <n v="39"/>
    <s v="&gt;50 dias"/>
    <s v="Fora"/>
    <s v="Não risco"/>
    <e v="#VALUE!"/>
    <n v="22"/>
  </r>
  <r>
    <s v="1012"/>
    <s v="Visita Domo de Ferro"/>
    <x v="0"/>
    <s v="DCMD"/>
    <d v="2026-08-03T00:00:00"/>
    <s v="Monike Chaves"/>
    <s v="Em Andamento"/>
    <x v="0"/>
    <s v=""/>
    <s v=""/>
    <s v="0402600456"/>
    <s v="SUL"/>
    <s v="Aral Moreira"/>
    <s v="Prefeitura"/>
    <s v="Aral Moreira"/>
    <s v="PREZADOS 1053824, NÃO FOI ATENDIDO A REDE DO LOTEAMENTO, ANEXO NO PROJETO TEM OS DOCUMENTOS NECESSARIOS PARA ATENDIMENTO, BEM COMO LEI DE CRIAÇÃO. A ENTREGA DAS CASAS SERIAM NO MÊS DE AGOSTO."/>
    <d v="2026-08-28T00:00:00"/>
    <s v="Obra 0402600456 - programação de obra"/>
    <d v="2026-09-04T00:00:00"/>
    <s v="PROGRAMADA PARA 18/09"/>
    <d v="2026-09-30T00:00:00"/>
    <d v="2026-09-18T00:00:00"/>
    <m/>
    <s v="Amanda Aparecida Teixeira dos Santos"/>
    <s v="Amanda Santos"/>
    <s v="PREFEITA ELAINE"/>
    <s v=""/>
    <s v="Sim"/>
    <s v="Visita Domo de Ferro"/>
    <d v="2026-09-04T00:00:00"/>
    <s v="Amanda Aparecida Teixeira dos Santos"/>
    <d v="2026-09-04T00:00:00"/>
    <s v="Amanda Aparecida Teixeira dos Santos"/>
    <n v="100"/>
    <n v="100"/>
    <n v="100"/>
    <s v=""/>
    <m/>
    <s v=""/>
    <s v="PONTA PORA"/>
    <n v="49"/>
    <s v="&gt;50 dias"/>
    <s v="Dentro"/>
    <s v="Risco"/>
    <e v="#VALUE!"/>
    <n v="7"/>
  </r>
  <r>
    <s v="1016"/>
    <s v="Visita Domo de Ferro"/>
    <x v="1"/>
    <s v="DESC"/>
    <d v="2026-08-13T00:00:00"/>
    <s v="Marcelly Arce Avalo Franca"/>
    <s v="Em Andamento"/>
    <x v="0"/>
    <s v=""/>
    <s v=""/>
    <s v="0452600171"/>
    <s v="CENTRO"/>
    <s v="Paraíso das Águas"/>
    <s v="Diretoria"/>
    <s v="Paraíso das Águas"/>
    <s v="OBRA: 0452600171 - ESCOPO: 40 METROS DE EXTENSÃO DE REDE + PONTO DE ENTREGA. _x000a_PRAZO: 120 DIAS_x000a_EXPECTATIVA DO CLIENTE: 11/09_x000a__x000a_CLIENTE SOLICITA PRIORIDADE, ATUALMENTE OPERANDO COM GERADOR."/>
    <d v="2026-09-10T00:00:00"/>
    <s v="gerar os de ligação e programar pra 11/09"/>
    <d v="2026-09-10T00:00:00"/>
    <s v="OS DE LIGAÇÃO GERADAS _x000a_PEDIDO PROGRAMAÇÃO PARA 11/09, AGUARDANDO CONFIRMAÇÃO"/>
    <d v="2026-09-11T00:00:00"/>
    <d v="2026-09-11T00:00:00"/>
    <m/>
    <s v="Marcelly Arce Avalo Franca"/>
    <s v="Marcelly Franca"/>
    <m/>
    <s v="Thamara Araujo Canteiro Collombelli"/>
    <s v="Sim"/>
    <s v="Visita Domo de Ferro"/>
    <d v="2026-09-10T00:00:00"/>
    <s v="Marcelly Arce Avalo Franca"/>
    <d v="2026-09-10T00:00:00"/>
    <s v="Marcelly Arce Avalo Franca"/>
    <n v="100"/>
    <n v="100"/>
    <n v="100"/>
    <s v=""/>
    <m/>
    <s v=""/>
    <s v="COSTA RICA"/>
    <n v="39"/>
    <s v="&gt;50 dias"/>
    <s v="Fora"/>
    <s v="Não risco"/>
    <e v="#VALUE!"/>
    <n v="0"/>
  </r>
  <r>
    <s v="1016"/>
    <s v="Visita Domo de Ferro"/>
    <x v="0"/>
    <s v="DCMD"/>
    <d v="2026-08-13T00:00:00"/>
    <s v="Marcelly Arce Avalo Franca"/>
    <s v="Em Andamento"/>
    <x v="1"/>
    <s v=""/>
    <s v=""/>
    <s v="0452600171"/>
    <s v="CENTRO"/>
    <s v="Paraíso das Águas"/>
    <s v="Diretoria"/>
    <s v="Paraíso das Águas"/>
    <s v="OBRA: 0452600171 - ESCOPO: 40 METROS DE EXTENSÃO DE REDE + PONTO DE ENTREGA. _x000a_PRAZO: 120 DIAS_x000a_EXPECTATIVA DO CLIENTE: 11/09_x000a__x000a_CLIENTE SOLICITA PRIORIDADE, ATUALMENTE OPERANDO COM GERADOR."/>
    <d v="2026-08-14T00:00:00"/>
    <s v="Verificar cronograma e executar com o prioridade a obra."/>
    <d v="2026-09-15T00:00:00"/>
    <m/>
    <d v="2026-09-11T00:00:00"/>
    <d v="2026-09-09T00:00:00"/>
    <m/>
    <s v="Amanda Aparecida Teixeira dos Santos"/>
    <s v="Amanda Santos"/>
    <m/>
    <s v="Thamara Araujo Canteiro Collombelli"/>
    <s v="Sim"/>
    <s v="Visita Domo de Ferro"/>
    <d v="2026-09-15T00:00:00"/>
    <s v="Amanda Aparecida Teixeira dos Santos"/>
    <d v="2026-09-15T00:00:00"/>
    <s v="Amanda Aparecida Teixeira dos Santos"/>
    <n v="100"/>
    <n v="100"/>
    <n v="100"/>
    <s v=""/>
    <m/>
    <s v=""/>
    <s v="COSTA RICA"/>
    <n v="39"/>
    <s v="&gt;50 dias"/>
    <s v="Fora"/>
    <s v="Não risco"/>
    <e v="#VALUE!"/>
    <n v="32"/>
  </r>
  <r>
    <s v="1022"/>
    <s v="Visita Domo de Ferro"/>
    <x v="2"/>
    <s v="DEOP"/>
    <d v="2026-03-02T00:00:00"/>
    <s v="Julio Cesar dos Santos Antonelo"/>
    <s v="Em Andamento"/>
    <x v="2"/>
    <s v=""/>
    <s v="30723"/>
    <s v=""/>
    <s v="NORTE"/>
    <s v="Corumbá"/>
    <s v="Diretoria"/>
    <s v="Corumbá"/>
    <s v="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d v="2026-07-23T00:00:00"/>
    <s v="07/08/2026: Instalar medição nas 2 UC's prioritárias até dia 14/08/2026_x000a_14/08/2026: Instalar medição nas 2 UC's prioritárias até dia 18/08/2026. Necessário envolver o time da Gleistuany (GEST)"/>
    <d v="2026-09-04T00:00:00"/>
    <m/>
    <m/>
    <m/>
    <m/>
    <s v="Luan Henrique Soares Diniz Afonso"/>
    <s v="Gabriella Domingo"/>
    <s v="RENATO MARCILIO DA SILVA"/>
    <s v="Julio Cesar dos Santos Antonelo"/>
    <s v="Sim"/>
    <s v="Visita Domo de Ferro"/>
    <d v="2026-09-04T00:00:00"/>
    <s v="Gabriella Amorim Domingo"/>
    <d v="2026-09-04T00:00:00"/>
    <s v="Gabriella Amorim Domingo"/>
    <n v="100"/>
    <n v="100"/>
    <n v="100"/>
    <s v=""/>
    <m/>
    <s v=""/>
    <s v="CORUMBA"/>
    <n v="203"/>
    <s v="&gt;50 dias"/>
    <s v="Dentro"/>
    <s v="Não risco"/>
    <e v="#VALUE!"/>
    <n v="43"/>
  </r>
  <r>
    <s v="1027"/>
    <s v="Visita Domo de Ferro"/>
    <x v="0"/>
    <s v="DCMD"/>
    <d v="2026-08-31T00:00:00"/>
    <s v="Monike Chaves"/>
    <s v="Em Andamento"/>
    <x v="0"/>
    <s v=""/>
    <s v=""/>
    <s v="0402600390"/>
    <s v="SUL"/>
    <s v="Antônio João"/>
    <s v="Prefeitura"/>
    <s v="Antônio João"/>
    <s v="Prefeito de Antonio João pedindo prioridade no atendimento dessa obra, pois a obra interna oi paralisada."/>
    <d v="2026-08-18T00:00:00"/>
    <m/>
    <d v="2026-09-15T00:00:00"/>
    <s v="Reprogramada para 24/09 - devido a contingencia"/>
    <d v="2026-08-31T00:00:00"/>
    <d v="2026-09-24T00:00:00"/>
    <m/>
    <s v="Amanda Aparecida Teixeira dos Santos"/>
    <s v="Amanda Santos"/>
    <s v="Prefeito Marcelo"/>
    <s v=""/>
    <s v="Sim"/>
    <s v="Visita Domo de Ferro"/>
    <d v="2026-09-15T00:00:00"/>
    <s v="Amanda Aparecida Teixeira dos Santos"/>
    <d v="2026-09-15T00:00:00"/>
    <s v="Amanda Aparecida Teixeira dos Santos"/>
    <n v="100"/>
    <n v="100"/>
    <n v="100"/>
    <s v=""/>
    <m/>
    <s v=""/>
    <s v="PONTA PORA"/>
    <n v="21"/>
    <s v="30–50 dias"/>
    <s v="Fora"/>
    <s v="Não risco"/>
    <e v="#VALUE!"/>
    <n v="28"/>
  </r>
  <r>
    <s v="1032"/>
    <s v="Visita Domo de Ferro"/>
    <x v="0"/>
    <s v="DCMD"/>
    <d v="2026-07-08T00:00:00"/>
    <s v="Monike Chaves"/>
    <s v="Finalizada"/>
    <x v="1"/>
    <s v=""/>
    <s v=""/>
    <s v="0502600521"/>
    <s v="SUL"/>
    <s v="Tacuru"/>
    <s v="Prefeitura"/>
    <s v="Tacuru"/>
    <s v="Por favor verificar possibilidade de agilizar atendimento da Obra 0502600521."/>
    <d v="2026-08-18T00:00:00"/>
    <s v="Por favor verificar possibilidade de agilizar atendimento da Obra 0502600521."/>
    <d v="2026-09-02T00:00:00"/>
    <s v="OBRA CONCLUIDA 21/08"/>
    <d v="2026-11-11T00:00:00"/>
    <m/>
    <d v="2026-08-21T00:00:00"/>
    <s v="Amanda Aparecida Teixeira dos Santos"/>
    <s v="Amanda Santos"/>
    <s v="Prefeito Rogério"/>
    <s v="Jonas Ortiz Rudis"/>
    <s v="Sim"/>
    <s v="Visita Domo de Ferro"/>
    <d v="2026-09-02T00:00:00"/>
    <s v="Amanda Aparecida Teixeira dos Santos"/>
    <d v="2026-09-02T00:00:00"/>
    <s v="Amanda Aparecida Teixeira dos Santos"/>
    <n v="100"/>
    <n v="100"/>
    <n v="100"/>
    <s v=""/>
    <m/>
    <s v=""/>
    <s v="NAVIRAI"/>
    <n v="75"/>
    <s v="&gt;50 dias"/>
    <s v="Dentro"/>
    <s v="Risco"/>
    <e v="#VALUE!"/>
    <n v="15"/>
  </r>
  <r>
    <s v="1036"/>
    <s v="Visita Domo de Ferro"/>
    <x v="3"/>
    <s v="DCMD"/>
    <d v="2026-08-18T00:00:00"/>
    <s v="Giovani Moura Sousa"/>
    <s v="Em Andamento"/>
    <x v="2"/>
    <s v=""/>
    <s v=""/>
    <s v=""/>
    <s v="CENTRO"/>
    <s v="Campo Grande"/>
    <s v="Câmara"/>
    <s v="Campo Grande"/>
    <s v="Solicita substituião do poste quebrado a Rua Grace Kelly, 306"/>
    <d v="2026-08-19T00:00:00"/>
    <s v="Programar levantamento para substituição de poste quebrado. Rua Grace Kelly, nº 306 - Bairro Jardim Colibri - Campo Grande/MS."/>
    <m/>
    <m/>
    <m/>
    <m/>
    <m/>
    <s v="Evair Rogerio da Conceicao"/>
    <s v=""/>
    <s v="Vereador Beto Avelar"/>
    <s v="Giovani Moura Sousa"/>
    <s v="Sim"/>
    <s v="Visita Domo de Ferro"/>
    <d v="2026-08-19T00:00:00"/>
    <s v="Wander Idalino Machado"/>
    <d v="2026-08-19T00:00:00"/>
    <s v="Wander Idalino Machado"/>
    <n v="25"/>
    <n v="25"/>
    <n v="12.5"/>
    <s v="Manutenção e Poda"/>
    <m/>
    <s v="DCMD - PODA E MANUTENÇÃO"/>
    <s v="CAMPO GRANDE"/>
    <n v="34"/>
    <s v="&gt;50 dias"/>
    <s v="Dentro"/>
    <s v="Não risco"/>
    <e v="#VALUE!"/>
    <n v="33"/>
  </r>
  <r>
    <s v="1043"/>
    <s v="Visita Domo de Ferro"/>
    <x v="0"/>
    <s v="DCMD"/>
    <d v="2026-08-19T00:00:00"/>
    <s v="Dian Cleiton de Brito"/>
    <s v="Finalizada"/>
    <x v="1"/>
    <s v=""/>
    <s v=""/>
    <s v="0302600251"/>
    <s v="SUL"/>
    <s v="Bataguassu"/>
    <s v="Assembleia Legislativa"/>
    <s v="Bataguassu"/>
    <s v="Deputado e Prefeita solicitam a relocação com urgÊncia considerando a paralização das obras de pavimentação._x000a__x000a__x000a_Expect 31/08/26;"/>
    <d v="2026-08-21T00:00:00"/>
    <s v="Por favor, disponibilizar orçamento ao cliente."/>
    <d v="2026-09-08T00:00:00"/>
    <s v="Obra gerada o boleto na UC conforme solicitado e liberada."/>
    <d v="2026-08-31T00:00:00"/>
    <m/>
    <d v="2026-06-26T00:00:00"/>
    <s v="Bruna Victoria Rodrigues Ricardes"/>
    <s v="Bruna Ricardes"/>
    <s v="Caravina - Deputado_x000a_Wanderleia - Prefeita _x000a_Carol - Secretaria de Adm"/>
    <s v="Dian Cleiton de Brito"/>
    <s v="Sim"/>
    <s v="Visita Domo de Ferro"/>
    <d v="2026-09-08T00:00:00"/>
    <s v="Bruna Victoria Rodrigues Ricardes"/>
    <d v="2026-09-08T00:00:00"/>
    <s v="Bruna Victoria Rodrigues Ricardes"/>
    <n v="100"/>
    <n v="100"/>
    <n v="100"/>
    <s v=""/>
    <m/>
    <s v=""/>
    <s v="NOVA ANDRADINA"/>
    <n v="33"/>
    <s v="&gt;50 dias"/>
    <s v="Dentro"/>
    <s v="Não risco"/>
    <e v="#VALUE!"/>
    <n v="18"/>
  </r>
  <r>
    <s v="1045"/>
    <s v="Visita Domo de Ferro"/>
    <x v="0"/>
    <s v="DCMD"/>
    <d v="2026-08-20T00:00:00"/>
    <s v="Dian Cleiton de Brito"/>
    <s v="Em Andamento"/>
    <x v="0"/>
    <s v=""/>
    <s v=""/>
    <s v="050-26-00571"/>
    <s v="SUL"/>
    <s v="Itaquiraí"/>
    <s v="Governo do Estado"/>
    <s v="Itaquiraí"/>
    <s v="Governador solicitou agilizar obra de atendimento ao Cliente._x000a__x000a_Expec: 20/09/26;_x000a__x000a__x000a__x000a__x000a_NELSON TUTIDA_x000a_CPF: 245.245.499-00_x000a_IE: 28.790.825-9_x000a_FAZ MEIO SECULO, ZONA RURAL, ITAQUIRAÍ - MS_x000a__x000a_PROJETO 23623/26_x000a_UC: 3877911_x000a_CUSD 13524_x000a_OBRA: 050-26-00571"/>
    <d v="2026-08-19T00:00:00"/>
    <s v="Liberar programação da Obra 0502600571"/>
    <d v="2026-09-15T00:00:00"/>
    <m/>
    <d v="2026-09-19T00:00:00"/>
    <d v="2026-09-18T00:00:00"/>
    <m/>
    <s v="Amanda Aparecida Teixeira dos Santos"/>
    <s v="Amanda Santos"/>
    <s v="Eduardo Riedel - Governador_x000a_Paulo Roberto - DPRE"/>
    <s v="Dian Cleiton de Brito"/>
    <s v="Sim"/>
    <s v="Visita Domo de Ferro"/>
    <d v="2026-09-15T00:00:00"/>
    <s v="Amanda Aparecida Teixeira dos Santos"/>
    <d v="2026-09-15T00:00:00"/>
    <s v="Amanda Aparecida Teixeira dos Santos"/>
    <n v="100"/>
    <n v="100"/>
    <n v="100"/>
    <s v=""/>
    <m/>
    <s v=""/>
    <s v="NAVIRAI"/>
    <n v="32"/>
    <s v="&gt;50 dias"/>
    <s v="Fora"/>
    <s v="Risco"/>
    <e v="#VALUE!"/>
    <n v="27"/>
  </r>
  <r>
    <s v="1057"/>
    <s v="Visita Domo de Ferro"/>
    <x v="0"/>
    <s v="DCMD"/>
    <d v="2026-08-21T00:00:00"/>
    <s v="Dian Cleiton de Brito"/>
    <s v="Em Andamento"/>
    <x v="0"/>
    <s v=""/>
    <s v=""/>
    <s v="0252600281"/>
    <s v="NORTE"/>
    <s v="Miranda"/>
    <s v="Diretoria"/>
    <s v="Miranda"/>
    <s v="Presidente solicitou para agilizar obra de extensão de rede para atendimento de Eletroposto._x000a__x000a_Expectativa: 20/09/26"/>
    <d v="2026-08-24T00:00:00"/>
    <s v="Obra 0252600281 - por favor agilizar programação."/>
    <d v="2026-09-04T00:00:00"/>
    <s v="Obra programada para finalizar 20/09"/>
    <d v="2026-09-20T00:00:00"/>
    <d v="2026-09-20T00:00:00"/>
    <m/>
    <s v="Amanda Aparecida Teixeira dos Santos"/>
    <s v="Amanda Santos"/>
    <s v="Paulo Roberto"/>
    <s v="Dian Cleiton de Brito"/>
    <s v="Sim"/>
    <s v="Visita Domo de Ferro"/>
    <d v="2026-09-04T00:00:00"/>
    <s v="Amanda Aparecida Teixeira dos Santos"/>
    <d v="2026-09-04T00:00:00"/>
    <s v="Amanda Aparecida Teixeira dos Santos"/>
    <n v="100"/>
    <n v="100"/>
    <n v="100"/>
    <s v=""/>
    <m/>
    <s v=""/>
    <s v="AQUIDAUANA"/>
    <n v="31"/>
    <s v="&gt;50 dias"/>
    <s v="Fora"/>
    <s v="Risco"/>
    <e v="#VALUE!"/>
    <n v="11"/>
  </r>
  <r>
    <s v="1060"/>
    <s v="Visita Domo de Ferro"/>
    <x v="0"/>
    <s v="DCMD"/>
    <d v="2026-08-24T00:00:00"/>
    <s v="Aline da Silva Mesquita"/>
    <s v="Em Andamento"/>
    <x v="0"/>
    <s v=""/>
    <s v=""/>
    <s v="0102601321"/>
    <s v="CENTRO"/>
    <s v="Ribas do Rio Pardo"/>
    <s v="Prefeitura"/>
    <s v="Ribas do Rio Pardo"/>
    <s v="Prefeito de Ribas me pediu para agilizar essas obras a seguir pra esta semana urgente."/>
    <d v="2026-08-24T00:00:00"/>
    <s v="agilizar obra, pra esta semana urgente."/>
    <d v="2026-09-15T00:00:00"/>
    <s v="Programada para 14/10"/>
    <d v="2026-08-31T00:00:00"/>
    <d v="2026-10-14T00:00:00"/>
    <m/>
    <s v="Amanda Aparecida Teixeira dos Santos"/>
    <s v="Amanda Santos"/>
    <m/>
    <s v=""/>
    <s v="Sim"/>
    <s v="Visita Domo de Ferro"/>
    <d v="2026-09-15T00:00:00"/>
    <s v="Amanda Aparecida Teixeira dos Santos"/>
    <d v="2026-09-15T00:00:00"/>
    <s v="Amanda Aparecida Teixeira dos Santos"/>
    <n v="100"/>
    <n v="100"/>
    <n v="100"/>
    <s v=""/>
    <m/>
    <s v=""/>
    <s v="CAMPO GRANDE INTERIOR"/>
    <n v="28"/>
    <s v="30–50 dias"/>
    <s v="Fora"/>
    <s v="Não risco"/>
    <e v="#VALUE!"/>
    <n v="22"/>
  </r>
  <r>
    <s v="1061"/>
    <s v="Visita Domo de Ferro"/>
    <x v="0"/>
    <s v="DCMD"/>
    <d v="2026-08-24T00:00:00"/>
    <s v="Aline da Silva Mesquita"/>
    <s v="Finalizada"/>
    <x v="1"/>
    <s v=""/>
    <s v=""/>
    <s v="0102601427"/>
    <s v="CENTRO"/>
    <s v="Ribas do Rio Pardo"/>
    <s v="Prefeitura"/>
    <s v="Ribas do Rio Pardo"/>
    <s v="Prefeito de Ribas me pediu para agilizar essas obras a seguir pra esta semana urgente"/>
    <d v="2026-08-24T00:00:00"/>
    <s v="agilizar obra pra esta semana urgente."/>
    <d v="2026-09-04T00:00:00"/>
    <s v="Obra concluída 28/08"/>
    <d v="2026-08-31T00:00:00"/>
    <m/>
    <d v="2026-08-28T00:00:00"/>
    <s v="Amanda Aparecida Teixeira dos Santos"/>
    <s v="Amanda Santos"/>
    <m/>
    <s v=""/>
    <s v="Sim"/>
    <s v="Visita Domo de Ferro"/>
    <d v="2026-09-04T00:00:00"/>
    <s v="Amanda Aparecida Teixeira dos Santos"/>
    <d v="2026-09-04T00:00:00"/>
    <s v="Amanda Aparecida Teixeira dos Santos"/>
    <n v="100"/>
    <n v="100"/>
    <n v="100"/>
    <s v=""/>
    <m/>
    <s v=""/>
    <s v="CAMPO GRANDE INTERIOR"/>
    <n v="28"/>
    <s v="30–50 dias"/>
    <s v="Dentro"/>
    <s v="Não risco"/>
    <e v="#VALUE!"/>
    <n v="11"/>
  </r>
  <r>
    <s v="1062"/>
    <s v="Visita Domo de Ferro"/>
    <x v="0"/>
    <s v="DCMD"/>
    <d v="2026-08-24T00:00:00"/>
    <s v="Aline da Silva Mesquita"/>
    <s v="Em Andamento"/>
    <x v="2"/>
    <s v=""/>
    <s v=""/>
    <s v="0102601240"/>
    <s v="CENTRO"/>
    <s v="Ribas do Rio Pardo"/>
    <s v="Prefeitura"/>
    <s v="Ribas do Rio Pardo"/>
    <s v="Prefeito de Ribas me pediu para agilizar essas obras a seguir pra esta semana urgente"/>
    <d v="2026-09-10T00:00:00"/>
    <s v="Obra 0102601240. Devolver ao SPRO, projeto não condiz com a situação em campo. No projeto pede a desativação de uma rede mas ela não é existente em campo."/>
    <d v="2026-09-11T00:00:00"/>
    <m/>
    <d v="2027-02-24T00:00:00"/>
    <m/>
    <m/>
    <s v="Evelyn Carlos Benites"/>
    <s v="Rafaela Almeida"/>
    <m/>
    <s v=""/>
    <s v="Sim"/>
    <s v="Visita Domo de Ferro"/>
    <d v="2026-09-11T00:00:00"/>
    <s v="Rafaela Mattos de Almeida"/>
    <d v="2026-09-11T00:00:00"/>
    <s v="Rafaela Mattos de Almeida"/>
    <n v="100"/>
    <n v="100"/>
    <n v="100"/>
    <s v=""/>
    <m/>
    <s v=""/>
    <s v="CAMPO GRANDE INTERIOR"/>
    <n v="28"/>
    <s v="30–50 dias"/>
    <s v="Dentro"/>
    <s v="Risco"/>
    <e v="#VALUE!"/>
    <n v="1"/>
  </r>
  <r>
    <s v="1064"/>
    <s v="Visita Domo de Ferro"/>
    <x v="4"/>
    <s v="DESC"/>
    <d v="2026-08-24T00:00:00"/>
    <s v="Aline da Silva Mesquita"/>
    <s v="Em Andamento"/>
    <x v="2"/>
    <s v=""/>
    <s v=""/>
    <s v="0702600176"/>
    <s v="NORTE"/>
    <s v="Coxim"/>
    <s v="Prefeitura"/>
    <s v="Coxim"/>
    <s v="Availdo vai entrar em contato. Obra liberada, pedir prioridade via central, SOLICITADA PELA ALINE MESQUITA"/>
    <d v="2026-08-24T00:00:00"/>
    <s v="Availdo vai entrar em contato, para maior entendimento, trata-se de duas obras 0702600176 e 0702600108. Aline Mesquita descreveu: Porem segue algumas observações;_x000a_a Obra ainda não esta em execução mesmo ter saído sem custo, provavelmente o que esta pendente é o contrato de demanda com os grandes clientes._x000a_o posto de transformação também esta pendente a solicitação de comissionamento."/>
    <d v="2026-09-08T00:00:00"/>
    <m/>
    <m/>
    <d v="2026-08-27T00:00:00"/>
    <m/>
    <s v="Availdo Taveira de Oliveira"/>
    <s v="Gabriella Domingo"/>
    <m/>
    <s v="Availdo Taveira de Oliveira"/>
    <s v="Sim"/>
    <s v="Prefeitura"/>
    <d v="2026-09-08T00:00:00"/>
    <s v="Gabriella Amorim Domingo"/>
    <d v="2026-09-08T00:00:00"/>
    <s v="Gabriella Amorim Domingo"/>
    <n v="100"/>
    <n v="100"/>
    <n v="100"/>
    <s v=""/>
    <m/>
    <s v=""/>
    <s v="COXIM"/>
    <n v="28"/>
    <s v="30–50 dias"/>
    <s v="Dentro"/>
    <s v="Não risco"/>
    <e v="#VALUE!"/>
    <n v="15"/>
  </r>
  <r>
    <s v="1064"/>
    <s v="Visita Domo de Ferro"/>
    <x v="0"/>
    <s v="DCMD"/>
    <d v="2026-08-24T00:00:00"/>
    <s v="Aline da Silva Mesquita"/>
    <s v="Em Andamento"/>
    <x v="0"/>
    <s v=""/>
    <s v=""/>
    <s v="0702600176"/>
    <s v="NORTE"/>
    <s v="Coxim"/>
    <s v="Prefeitura"/>
    <s v="Coxim"/>
    <s v="Availdo vai entrar em contato. Obra liberada, pedir prioridade via central, SOLICITADA PELA ALINE MESQUITA"/>
    <d v="2026-08-24T00:00:00"/>
    <s v="Obra liberada, liberar programação, obra necessaria ser atendida com urgencia. Demanda DPRE_x000a_São duas obras 0702600176 e 0702600108"/>
    <d v="2026-09-15T00:00:00"/>
    <s v="Reprogramada para 26/09  - devido a contingencia"/>
    <d v="2026-09-30T00:00:00"/>
    <d v="2026-09-26T00:00:00"/>
    <m/>
    <s v="Amanda Aparecida Teixeira dos Santos"/>
    <s v="Amanda Santos"/>
    <m/>
    <s v="Availdo Taveira de Oliveira"/>
    <s v="Sim"/>
    <s v="Prefeitura"/>
    <d v="2026-09-15T00:00:00"/>
    <s v="Amanda Aparecida Teixeira dos Santos"/>
    <d v="2026-09-15T00:00:00"/>
    <s v="Amanda Aparecida Teixeira dos Santos"/>
    <n v="100"/>
    <n v="100"/>
    <n v="100"/>
    <s v=""/>
    <m/>
    <s v=""/>
    <s v="COXIM"/>
    <n v="28"/>
    <s v="30–50 dias"/>
    <s v="Dentro"/>
    <s v="Risco"/>
    <e v="#VALUE!"/>
    <n v="22"/>
  </r>
  <r>
    <s v="1066"/>
    <s v="Visita Domo de Ferro"/>
    <x v="0"/>
    <s v="DCMD"/>
    <d v="2026-08-20T00:00:00"/>
    <s v="Aline da Silva Mesquita"/>
    <s v="Em Andamento"/>
    <x v="1"/>
    <s v=""/>
    <s v=""/>
    <s v=""/>
    <s v="CENTRO"/>
    <s v="Ribas do Rio Pardo"/>
    <s v="Diretoria"/>
    <s v="Ribas do Rio Pardo"/>
    <s v="Trata-se do novo prédio da Policia militar. Obra por parte do cliente concluída e comissionada."/>
    <d v="2026-08-25T00:00:00"/>
    <s v="Agilizar o orçamento para seguirmos com a elaboração dos contratos"/>
    <d v="2026-09-08T00:00:00"/>
    <m/>
    <d v="2026-08-31T00:00:00"/>
    <m/>
    <m/>
    <s v="Bruna Victoria Rodrigues Ricardes"/>
    <s v="Bruna Ricardes"/>
    <s v="Denise Simoes"/>
    <s v=""/>
    <s v="Sim"/>
    <s v="Visita Domo de Ferro"/>
    <d v="2026-09-08T00:00:00"/>
    <s v="Bruna Victoria Rodrigues Ricardes"/>
    <d v="2026-09-08T00:00:00"/>
    <s v="Bruna Victoria Rodrigues Ricardes"/>
    <n v="100"/>
    <n v="100"/>
    <n v="100"/>
    <s v=""/>
    <m/>
    <s v=""/>
    <s v="CAMPO GRANDE INTERIOR"/>
    <n v="32"/>
    <s v="&gt;50 dias"/>
    <s v="Fora"/>
    <s v="Não risco"/>
    <e v="#VALUE!"/>
    <n v="14"/>
  </r>
  <r>
    <s v="1066"/>
    <s v="Visita Domo de Ferro"/>
    <x v="0"/>
    <s v="DESC"/>
    <d v="2026-08-20T00:00:00"/>
    <s v="Aline da Silva Mesquita"/>
    <s v="Em Andamento"/>
    <x v="2"/>
    <s v="SECRETARIA DE ESTADO DE JUSTIÇA E SEGURANÇA PÚBLICA"/>
    <s v=""/>
    <s v="010260168"/>
    <s v="CENTRO"/>
    <s v="Ribas do Rio Pardo"/>
    <s v="Diretoria"/>
    <s v="Ribas do Rio Pardo"/>
    <s v="Trata-se do novo prédio da Policia militar. Obra por parte do cliente concluída e comissionada."/>
    <d v="2026-09-10T00:00:00"/>
    <s v="Obra 010260168 - Projeto anexado. Por favor seguir com a elaboração dos contratos. Orçamento enviado para o cliente."/>
    <m/>
    <m/>
    <m/>
    <m/>
    <m/>
    <s v="Marcelly Arce Avalo Franca"/>
    <s v=""/>
    <s v="Denise Simoes"/>
    <s v=""/>
    <s v="Sim"/>
    <s v="Visita Domo de Ferro"/>
    <d v="2026-09-11T00:00:00"/>
    <s v="Wander Idalino Machado"/>
    <d v="2026-09-11T00:00:00"/>
    <s v="Wander Idalino Machado"/>
    <n v="100"/>
    <n v="100"/>
    <n v="50"/>
    <s v="Relacionamento com cliente"/>
    <m/>
    <s v="CGCP"/>
    <s v="CAMPO GRANDE INTERIOR"/>
    <n v="32"/>
    <s v="&gt;50 dias"/>
    <s v="Dentro"/>
    <s v="Não risco"/>
    <e v="#VALUE!"/>
    <n v="11"/>
  </r>
  <r>
    <s v="1067"/>
    <s v="Visita Domo de Ferro"/>
    <x v="5"/>
    <s v="DCMD"/>
    <d v="2026-08-31T00:00:00"/>
    <s v="Giovani Moura Sousa"/>
    <s v="Finalizada"/>
    <x v="1"/>
    <s v=""/>
    <s v="1.368.792.051-47"/>
    <s v=""/>
    <s v="SUL"/>
    <s v="Dourados"/>
    <s v="Câmara"/>
    <s v="Dourados"/>
    <s v="PODA E SUPRESSAO DA ARVORE UC136879205147 RUA DAS FIGUEIRAS 810 - JARDIM COLIBRI, COM AUTORIZAÇÃO DO IMAM, CONFORME ANEXO. NECESSARIO COM URGENCIA ARVORE ESTA CAINDO E NO LOCAL NAO PODE FICAR SEM ENERGIA DEVIDO A SER UM CLIENTE VIP ENFERMO COM USO DE EQUIPAMENTO ESSENCIAL."/>
    <d v="2026-08-25T00:00:00"/>
    <s v="PODA E SUPRESSAO DA ARVORE UC136879205147 RUA DAS FIGUEIRAS 810 - JARDIM COLIBRI, COM AUTORIZAÇÃO DO IMAM, CONFORME ANEXO. NECESSARIO COM URGENCIA ARVORE ESTA CAINDO E NO LOCAL NAO PODE FICAR SEM ENERGIA DEVIDO A SER UM CLIENTE VIP ENFERMO COM USO DE EQUIPAMENTO ESSENCIAL."/>
    <d v="2026-08-31T00:00:00"/>
    <s v="Supressão realizada."/>
    <m/>
    <m/>
    <m/>
    <s v="Evair Rogerio da Conceicao"/>
    <s v="Evair Conceicao"/>
    <m/>
    <s v=""/>
    <s v="Sim"/>
    <s v="Visita Domo de Ferro"/>
    <d v="2026-08-31T00:00:00"/>
    <s v="Evair Rogerio da Conceicao"/>
    <d v="2026-08-31T00:00:00"/>
    <s v="Evair Rogerio da Conceicao"/>
    <n v="25"/>
    <n v="25"/>
    <n v="25"/>
    <s v=""/>
    <m/>
    <s v=""/>
    <s v="DOURADOS"/>
    <n v="21"/>
    <s v="30–50 dias"/>
    <s v="Dentro"/>
    <s v="Não risco"/>
    <e v="#VALUE!"/>
    <n v="6"/>
  </r>
  <r>
    <s v="1073"/>
    <s v="Visita Domo de Ferro"/>
    <x v="0"/>
    <s v="DCMD"/>
    <d v="2026-08-28T00:00:00"/>
    <s v="Dian Cleiton de Brito"/>
    <s v="Finalizada"/>
    <x v="1"/>
    <s v=""/>
    <s v=""/>
    <s v="0402600390"/>
    <s v="SUL"/>
    <s v="Antônio João"/>
    <s v="Assembleia Legislativa"/>
    <s v="Antônio João"/>
    <s v="SOLICITA AGILIZAR A REALIZAÇAO DA OBRA_x000a__x000a_EXPECTATIVA 15/09._x000a__x000a_Demanda gerada em duplicidade - Obra 0402600390 - Todas as tratativas que o caso requer ocorrerá através do ID 1027."/>
    <d v="2026-08-28T00:00:00"/>
    <s v="Obra 0402600390 - Programação."/>
    <d v="2026-09-15T00:00:00"/>
    <s v="Duplicado com ID 1027"/>
    <d v="2026-09-15T00:00:00"/>
    <d v="2026-09-14T00:00:00"/>
    <m/>
    <s v="Amanda Aparecida Teixeira dos Santos"/>
    <s v="Amanda Santos"/>
    <s v="PAULO ROBERTO_x000a_BETO PEREIRA"/>
    <s v="Dian Cleiton de Brito"/>
    <s v="Sim"/>
    <s v="Visita Domo de Ferro"/>
    <d v="2026-09-15T00:00:00"/>
    <s v="Amanda Aparecida Teixeira dos Santos"/>
    <d v="2026-09-15T00:00:00"/>
    <s v="Amanda Aparecida Teixeira dos Santos"/>
    <n v="100"/>
    <n v="100"/>
    <n v="100"/>
    <s v=""/>
    <m/>
    <s v=""/>
    <s v="PONTA PORA"/>
    <n v="24"/>
    <s v="30–50 dias"/>
    <s v="Fora"/>
    <s v="Risco"/>
    <e v="#VALUE!"/>
    <n v="18"/>
  </r>
  <r>
    <s v="1074"/>
    <s v="Visita Domo de Ferro"/>
    <x v="0"/>
    <s v="DCMD"/>
    <d v="2026-09-30T00:00:00"/>
    <s v="Monike Chaves"/>
    <s v="Em Andamento"/>
    <x v="0"/>
    <s v=""/>
    <s v=""/>
    <s v="0202600798"/>
    <s v="SUL"/>
    <s v="Caarapó"/>
    <s v="Prefeitura"/>
    <s v="Caarapó"/>
    <s v="Prefeita solicitou adiantamento da obra, em decorrecnia de obra no local."/>
    <d v="2026-08-31T00:00:00"/>
    <s v="Obra 0202600798 - programação."/>
    <d v="2026-09-15T00:00:00"/>
    <s v="Mantém para 28/09"/>
    <m/>
    <d v="2026-09-28T00:00:00"/>
    <m/>
    <s v="Amanda Aparecida Teixeira dos Santos"/>
    <s v="Amanda Santos"/>
    <s v="Prefeita Lurdes"/>
    <s v="Aline da Silva Mesquita"/>
    <s v="Sim"/>
    <s v="Prefeitura"/>
    <d v="2026-09-15T00:00:00"/>
    <s v="Amanda Aparecida Teixeira dos Santos"/>
    <d v="2026-09-15T00:00:00"/>
    <s v="Amanda Aparecida Teixeira dos Santos"/>
    <n v="100"/>
    <n v="100"/>
    <n v="100"/>
    <s v=""/>
    <m/>
    <s v=""/>
    <s v="DOURADOS"/>
    <n v="-9"/>
    <s v="0–5 dias"/>
    <s v="Dentro"/>
    <s v="Não risco"/>
    <e v="#VALUE!"/>
    <n v="15"/>
  </r>
  <r>
    <s v="1080"/>
    <s v="Visita Domo de Ferro"/>
    <x v="0"/>
    <s v="DCMD"/>
    <d v="2026-09-02T00:00:00"/>
    <s v="Dian Cleiton de Brito"/>
    <s v="Em Andamento"/>
    <x v="2"/>
    <s v=" JOSE RODRIGUES PEREIRA"/>
    <s v=""/>
    <s v="0102201031"/>
    <s v="CENTRO"/>
    <s v="Bandeirantes"/>
    <s v="Assembleia Legislativa"/>
    <s v="Bandeirantes"/>
    <s v="Proprietário da Faz Elizabeth solicita a execução da obra em execução em sua proriedade a 4 anos. _x000a_precisa da execução imediata para inicio do plantio._x000a__x000a_Necessidade 15/09/26."/>
    <d v="2026-09-17T00:00:00"/>
    <s v="Obra 0102201031 Fiscalização Reprovada. Por favor avaliar o andamento pois a obra contempla a instalação de 01 religador 34.5 KV. _x000a_Tratativa deve ser feita pelo SPCO, o Religador chegará em 28/09/2026."/>
    <m/>
    <m/>
    <m/>
    <m/>
    <m/>
    <s v="Amanda Aparecida Teixeira dos Santos"/>
    <s v=""/>
    <s v="Junior Mocci_x000a_Renato Câmara"/>
    <s v="Dian Cleiton de Brito"/>
    <s v="Sim"/>
    <s v="Visita Domo de Ferro"/>
    <d v="2026-09-17T00:00:00"/>
    <s v="Wander Idalino Machado"/>
    <d v="2026-09-17T00:00:00"/>
    <s v="Wander Idalino Machado"/>
    <n v="100"/>
    <n v="100"/>
    <n v="50"/>
    <s v="Programação de Obras e Gestão de Materiais"/>
    <m/>
    <s v="DCMD - PROGRAMAÇÃO DE OBRA"/>
    <s v="CAMPO GRANDE INTERIOR"/>
    <n v="19"/>
    <s v="30–50 dias"/>
    <s v="Dentro"/>
    <s v="Não risco"/>
    <e v="#VALUE!"/>
    <n v="4"/>
  </r>
  <r>
    <s v="1087"/>
    <s v="Visita Domo de Ferro"/>
    <x v="2"/>
    <s v="DEOP"/>
    <d v="2026-09-03T00:00:00"/>
    <s v="Dian Cleiton de Brito"/>
    <s v="Em Andamento"/>
    <x v="2"/>
    <s v="RAFAEL PIZZI"/>
    <s v="2986442/2944064"/>
    <s v=""/>
    <s v="CENTRO"/>
    <s v="Aparecida do Taboado"/>
    <s v="Prefeitura"/>
    <s v="Aparecida do Taboado"/>
    <s v="RECLAMAÇÃO SOBRECARGAS E ABERTURA DO TRANSFORMADOR._x000a__x000a_UC 2986442 - 200 A_x000a_UC 2944064 - 200 A _x000a_ligadas no mesmo transformador. ENTF 000505"/>
    <d v="2026-09-04T00:00:00"/>
    <s v="Por favor realizar os estudos para avaliação e as possíveis intervenções. Unidades consumidoras 2986442 e 2944064. Transformador ENTF 000505."/>
    <m/>
    <m/>
    <m/>
    <m/>
    <m/>
    <s v="Luan Henrique Soares Diniz Afonso"/>
    <s v=""/>
    <s v="José Natan - Prefeito"/>
    <s v="Dian Cleiton de Brito"/>
    <s v="Sim"/>
    <s v="Visita Domo de Ferro"/>
    <d v="2026-09-04T00:00:00"/>
    <s v="Wander Idalino Machado"/>
    <d v="2026-09-04T00:00:00"/>
    <s v="Wander Idalino Machado"/>
    <n v="100"/>
    <n v="100"/>
    <n v="50"/>
    <s v="Qualidade do produto"/>
    <m/>
    <s v="DEOP - QUALIDADE"/>
    <s v="PARANAIBA"/>
    <n v="18"/>
    <s v="30–50 dias"/>
    <s v="Dentro"/>
    <s v="Não risco"/>
    <e v="#VALUE!"/>
    <n v="17"/>
  </r>
  <r>
    <s v="1090"/>
    <s v="Visita Domo de Ferro"/>
    <x v="0"/>
    <s v="DCMD"/>
    <d v="2026-09-03T00:00:00"/>
    <s v="Dian Cleiton de Brito"/>
    <s v="Em Andamento"/>
    <x v="0"/>
    <s v=""/>
    <s v=""/>
    <s v="0402600380"/>
    <s v="SUL"/>
    <s v="Laguna Carapã"/>
    <s v="Prefeitura"/>
    <s v="Laguna Carapã"/>
    <s v="Prefeito solicita a relocação em caráter emergencial, pois tem risco de perder recurso para construção de imoveis na área em questão._x000a__x000a_Obra  0402600380_x000a__x000a_Expectatica: 30:09:26"/>
    <d v="2026-09-04T00:00:00"/>
    <s v="Obra 0402600380 - Programação."/>
    <d v="2026-09-15T00:00:00"/>
    <m/>
    <m/>
    <d v="2026-09-29T00:00:00"/>
    <m/>
    <s v="Amanda Aparecida Teixeira dos Santos"/>
    <s v="Amanda Santos"/>
    <s v="Itamar - Prefeito"/>
    <s v="Dian Cleiton de Brito"/>
    <s v="Sim"/>
    <s v="Visita Domo de Ferro"/>
    <d v="2026-09-15T00:00:00"/>
    <s v="Amanda Aparecida Teixeira dos Santos"/>
    <d v="2026-09-15T00:00:00"/>
    <s v="Amanda Aparecida Teixeira dos Santos"/>
    <n v="100"/>
    <n v="100"/>
    <n v="100"/>
    <s v=""/>
    <m/>
    <s v=""/>
    <s v="PONTA PORA"/>
    <n v="18"/>
    <s v="30–50 dias"/>
    <s v="Dentro"/>
    <s v="Não risco"/>
    <e v="#VALUE!"/>
    <n v="11"/>
  </r>
  <r>
    <s v="1093"/>
    <s v="Visita Domo de Ferro"/>
    <x v="4"/>
    <s v="Central do Cliente"/>
    <d v="2026-09-01T00:00:00"/>
    <s v="Giovani Moura Sousa"/>
    <s v="Finalizada"/>
    <x v="1"/>
    <s v=""/>
    <s v=""/>
    <s v=""/>
    <s v="SUL"/>
    <s v="Amambai"/>
    <s v="Câmara"/>
    <s v="Amambai"/>
    <s v="Interruções de nergia no centro da cidade de Amabai"/>
    <d v="2026-09-04T00:00:00"/>
    <s v="Para direcionamento de ação ao DEOP é necessário fornecer mais informações, tais como, número de controle interno, número da unidade consumidora, dentre outros."/>
    <d v="2026-09-04T00:00:00"/>
    <s v="Para direcionamento de ação ao DEOP é necessário fornecer mais informações, tais como, número de controle interno, número da unidade consumidora, dentre outros."/>
    <m/>
    <m/>
    <d v="2026-09-04T00:00:00"/>
    <s v="Wander Idalino Machado"/>
    <s v="Wander Machado"/>
    <s v="Vereadora Suzana"/>
    <s v="Giovani Moura Sousa"/>
    <s v="Sim"/>
    <s v="Visita Domo de Ferro"/>
    <d v="2026-09-04T00:00:00"/>
    <s v="Wander Idalino Machado"/>
    <d v="2026-09-04T00:00:00"/>
    <s v="Wander Idalino Machado"/>
    <n v="25"/>
    <n v="25"/>
    <n v="25"/>
    <s v=""/>
    <m/>
    <s v=""/>
    <s v="PONTA PORA"/>
    <n v="20"/>
    <s v="30–50 dias"/>
    <s v="Dentro"/>
    <s v="Não risco"/>
    <e v="#VALUE!"/>
    <n v="0"/>
  </r>
  <r>
    <s v="1095"/>
    <s v="Visita Domo de Ferro"/>
    <x v="4"/>
    <s v="Central do Cliente"/>
    <d v="2026-09-01T00:00:00"/>
    <s v="Giovani Moura Sousa"/>
    <s v="Finalizada"/>
    <x v="1"/>
    <s v=""/>
    <s v=""/>
    <s v=""/>
    <s v="SUL"/>
    <s v="Amambai"/>
    <s v="Câmara"/>
    <s v="Amambai"/>
    <s v="Interrupções de energia no centro da cidade de Amambai"/>
    <d v="2026-09-04T00:00:00"/>
    <s v="Para direcionamento de ação ao DEOP é necessário fornecer mais informações, tais como, número de controle interno, número da unidade consumidora, dentre outros."/>
    <d v="2026-09-04T00:00:00"/>
    <s v="Para direcionamento de ação ao DEOP é necessário fornecer mais informações, tais como, número de controle interno, número da unidade consumidora, dentre outros."/>
    <m/>
    <m/>
    <d v="2026-09-04T00:00:00"/>
    <s v="Wander Idalino Machado"/>
    <s v="Wander Machado"/>
    <s v="Vereador darci José da Silva"/>
    <s v="Giovani Moura Sousa"/>
    <s v="Sim"/>
    <s v="Visita Domo de Ferro"/>
    <d v="2026-09-04T00:00:00"/>
    <s v="Wander Idalino Machado"/>
    <d v="2026-09-04T00:00:00"/>
    <s v="Wander Idalino Machado"/>
    <n v="25"/>
    <n v="25"/>
    <n v="25"/>
    <s v=""/>
    <m/>
    <s v=""/>
    <s v="PONTA PORA"/>
    <n v="20"/>
    <s v="30–50 dias"/>
    <s v="Dentro"/>
    <s v="Não risco"/>
    <e v="#VALUE!"/>
    <n v="0"/>
  </r>
  <r>
    <s v="1097"/>
    <s v="Visita Domo de Ferro"/>
    <x v="4"/>
    <s v="Central do Cliente"/>
    <d v="2026-09-04T00:00:00"/>
    <s v="Dian Cleiton de Brito"/>
    <s v="Finalizada"/>
    <x v="1"/>
    <s v=""/>
    <s v="1.292.193.051-59"/>
    <s v=""/>
    <s v="CENTRO"/>
    <s v="Campo Grande"/>
    <s v="Assembleia Legislativa"/>
    <s v="Campo Grande"/>
    <s v="Deputado relata que existe problema na injeção de creditos em sua unidade consumidora._x000a__x000a_Reclama do elevado consumo de sua residência._x000a__x000a_Expec: 04/09/26._x000a__x000a_Subsídios encaminhados via Teams aos cuidados do gestor de relacionamento Dian Cleiton em 04/09/2026."/>
    <d v="2026-09-04T00:00:00"/>
    <s v="Informação sobre faturamento GD - Unidade Consumidora 2406080."/>
    <d v="2026-09-04T00:00:00"/>
    <s v="Controle Interno 2406080 - GD _x000a__x000a_Troca de Medidor Para Aferição - Data 30/04/2025.OS 404908453 - Medidor Retirado W0002050271 _x000a__x000a_Canal 03: 21178_x000a__x000a_Canal 103: 16581 _x000a__x000a_Medidor Aprovado pelo INMETRO - Laudo 2859/2025_x000a__x000a_Em análise foi identificado que, na data de 29/05/2025 após ensaios realizados pelo INMETRO foi identificado que não havia inconsistências com o medidor W0002050271 retirado da unidade consumidora 2406080 através da ordem de serviço 404908453._x000a__x000a_Esclarecemos que, na ocasião o medidor W0002050271 apresentava as leituras (03 consumo medido 21178 e 103 energia injetada 16581), contabilizando 560 KWh de consumo residual e 143 KWh de energia ativa injetada residual. _x000a__x000a_Após a substituição dos medidores as leituras foram coletadas mensalmente com visitas regulares realizadas por nossos leituristas e confirmação das grandezas faturáveis (consumo e injetado). _x000a__x000a_Em consulta ao histórico de leitura e faturamento da unidade identificamos que, até a referência 05/2024 a unidade consumidora apresentava uma média de consumo inferior a média de energia injetada, dessa maneira, ao longo dos meses anteriores a energia injetada era superior ao consumo medido, logo, ocorria a compensação de todo consumo medido restando saldo excedente acumulado para compensação nos faturamentos subsequentes. _x000a__x000a_Esclarecemos que, a partir da referência 11/2024 a unidade em questão passou a apresentar uma média de consumo superior ao injetado, no entanto, devido a existência de saldo acumulado de meses anteriores durante o processo de faturamento a compensação estava ocorrendo até o limite do custo de disponibilidade conforme dispõe a resolução vigente._x000a__x000a_Cumpre informar, que até a referência 07/2026 a unidade consumidora dispunha de 680 KWh em saldo acumulado de meses anteriores, portanto, a diferença entre o consumo medido e o injetado na respectiva referência foi compensado considerando o saldo informado resultando em uma diferença de 174 KWh, ocasionando na fatura de R$ 328,70. _x000a__x000a_Para o faturamento da referência 08/2026, foi identificado que, na data de 18/08/2026 em visita realizada ao imóvel foram coletadas as leituras (03 consumo medido 13.562 e 103 energia injetada 11.436), contabilizando 1.405 KWh de consumo e 627 KWh de injetado. Logo, devido ao esgotamento do saldo excedente acumulado em meses anteriores, houve a compensação de toda a energia injetada no respectivo faturamento (627 KWh), restando uma diferença de 778 KWh (consumo medido), resultando na fatura emitida no valor de R$ 1.112,83. _x000a__x000a_Diante dos dados de medição (leituras), informo que o consumo medido e o injetado na referência 08/2026 estão de acordo com os registros contabilizados pelo equipamento de medição instalado na unidade reclamada. Portanto, a fatura emitida no valor de R$ 1.112,83 está correta não havendo înconsistências com o respectivo faturamento."/>
    <m/>
    <m/>
    <d v="2026-09-04T00:00:00"/>
    <s v="Wander Idalino Machado"/>
    <s v="Wander Machado"/>
    <s v="Geraldo Resende - Deputado_x000a_Anne Jackeline - Secretária"/>
    <s v="Dian Cleiton de Brito"/>
    <s v="Sim"/>
    <s v="Visita Domo de Ferro"/>
    <d v="2026-09-04T00:00:00"/>
    <s v="Wander Idalino Machado"/>
    <d v="2026-09-04T00:00:00"/>
    <s v="Wander Idalino Machado"/>
    <n v="100"/>
    <n v="100"/>
    <n v="100"/>
    <s v=""/>
    <m/>
    <s v=""/>
    <s v="CAMPO GRANDE"/>
    <n v="17"/>
    <s v="30–50 dias"/>
    <s v="Dentro"/>
    <s v="Não risco"/>
    <e v="#VALUE!"/>
    <n v="0"/>
  </r>
  <r>
    <s v="1098"/>
    <s v="Visita Domo de Ferro"/>
    <x v="0"/>
    <s v="DCMD"/>
    <d v="2026-09-04T00:00:00"/>
    <s v="Dian Cleiton de Brito"/>
    <s v="Finalizada"/>
    <x v="1"/>
    <s v=""/>
    <s v=""/>
    <s v="0302600330"/>
    <s v="SUL"/>
    <s v="Ivinhema"/>
    <s v="Assembleia Legislativa"/>
    <s v="Ivinhema"/>
    <s v="DEPUTADO SOLICITA AGILIZAR OBRA DE MELHORIA PARA ATENDIMENTO A AUMENTO DE CARGA._x000a__x000a_EXPECTATIVA 05/10/26. _x000a__x000a_Orçamento não foi aprovado pelo cliente, dessa maneira, no há possibilidade de agilizar atendimento da obra (agente institucional) orientado via Teams."/>
    <d v="2026-09-04T00:00:00"/>
    <s v="Obra 0302600330 - agilizar programação."/>
    <d v="2026-09-15T00:00:00"/>
    <s v="ORÇAMENTO AINDA NAO APROVADO PELO CLIENTE"/>
    <d v="2026-10-05T00:00:00"/>
    <m/>
    <m/>
    <s v="Amanda Aparecida Teixeira dos Santos"/>
    <s v="Amanda Santos"/>
    <s v="Zé Teixeira - DEPUTADO_x000a_Paulo Roberto - DPRE"/>
    <s v="Dian Cleiton de Brito"/>
    <s v="Sim"/>
    <s v="Visita Domo de Ferro"/>
    <d v="2026-09-15T00:00:00"/>
    <s v="Amanda Aparecida Teixeira dos Santos"/>
    <d v="2026-09-15T00:00:00"/>
    <s v="Amanda Aparecida Teixeira dos Santos"/>
    <n v="100"/>
    <n v="100"/>
    <n v="100"/>
    <s v=""/>
    <m/>
    <s v=""/>
    <s v="NOVA ANDRADINA"/>
    <n v="17"/>
    <s v="30–50 dias"/>
    <s v="Dentro"/>
    <s v="Risco"/>
    <e v="#VALUE!"/>
    <n v="11"/>
  </r>
  <r>
    <s v="1105"/>
    <s v="Visita Domo de Ferro"/>
    <x v="0"/>
    <s v="DCMD"/>
    <d v="2026-05-19T01:00:00"/>
    <s v="Dian Cleiton de Brito"/>
    <s v="Em Andamento"/>
    <x v="0"/>
    <s v=""/>
    <s v=""/>
    <s v="0302500469"/>
    <s v="SUL"/>
    <s v="Bataguassu"/>
    <s v="Diretoria"/>
    <s v="Bataguassu"/>
    <s v="Solicita realizar a ligação com urgência do loteamento"/>
    <d v="2026-09-09T00:00:00"/>
    <s v="Obra 0302500469 - Favor incluir na programação."/>
    <d v="2026-09-17T00:00:00"/>
    <m/>
    <m/>
    <d v="2026-10-12T00:00:00"/>
    <m/>
    <s v="Amanda Aparecida Teixeira dos Santos"/>
    <s v="Amanda Santos"/>
    <s v="Paulo Roberto do Santos"/>
    <s v="Dian Cleiton de Brito"/>
    <s v="Sim"/>
    <s v="Visita Domo de Ferro"/>
    <d v="2026-09-17T00:00:00"/>
    <s v="Amanda Aparecida Teixeira dos Santos"/>
    <d v="2026-09-17T00:00:00"/>
    <s v="Amanda Aparecida Teixeira dos Santos"/>
    <n v="100"/>
    <n v="100"/>
    <n v="100"/>
    <s v=""/>
    <m/>
    <s v=""/>
    <s v="NOVA ANDRADINA"/>
    <n v="124.95833333333576"/>
    <s v="&gt;50 dias"/>
    <s v="Dentro"/>
    <s v="Não risco"/>
    <e v="#VALUE!"/>
    <n v="8"/>
  </r>
  <r>
    <s v="1110"/>
    <s v="Visita Domo de Ferro"/>
    <x v="0"/>
    <s v="DCMD"/>
    <d v="2026-09-09T00:00:00"/>
    <s v="Dian Cleiton de Brito"/>
    <s v="Em Andamento"/>
    <x v="2"/>
    <s v=" HAMMES COMÉRCIO DE CEREAIS LTDA. ME"/>
    <s v=""/>
    <s v="0202600853"/>
    <s v="SUL"/>
    <s v="Rio Brilhante"/>
    <s v="Assembleia Legislativa"/>
    <s v="Rio Brilhante"/>
    <s v="Solicita agilizar a realização da obra 0202600853_x000a__x000a_EXPECTATIVA: 20/09/26"/>
    <d v="2026-09-10T00:00:00"/>
    <s v="Obra 0202600853 favor incluir na programação."/>
    <m/>
    <m/>
    <d v="2026-09-20T00:00:00"/>
    <m/>
    <m/>
    <s v="Amanda Aparecida Teixeira dos Santos"/>
    <s v=""/>
    <s v="Zé Teixeira_x000a_Paulo Roberto"/>
    <s v="Dian Cleiton de Brito"/>
    <s v="Sim"/>
    <s v="Visita Domo de Ferro"/>
    <d v="2026-09-11T00:00:00"/>
    <s v="Wander Idalino Machado"/>
    <d v="2026-09-11T00:00:00"/>
    <s v="Wander Idalino Machado"/>
    <n v="100"/>
    <n v="100"/>
    <n v="50"/>
    <s v="Programação de Obras e Gestão de Materiais"/>
    <m/>
    <s v="DCMD - PROGRAMAÇÃO DE OBRA"/>
    <s v="RIO BRILHANTE"/>
    <n v="12"/>
    <s v="6–15 dias"/>
    <s v="Fora"/>
    <s v="Risco"/>
    <e v="#VALUE!"/>
    <n v="11"/>
  </r>
  <r>
    <s v="1119"/>
    <s v="Visita Domo de Ferro"/>
    <x v="0"/>
    <s v="DCMD"/>
    <d v="2026-09-15T00:00:00"/>
    <s v="Dian Cleiton de Brito"/>
    <s v="Em Andamento"/>
    <x v="2"/>
    <s v=" IRANI ENERHARD"/>
    <s v=""/>
    <s v="0202600755"/>
    <s v="SUL"/>
    <s v="Dourados"/>
    <s v="Assembleia Legislativa"/>
    <s v="Dourados"/>
    <s v="Deputado Solicita agilizar obra de execução de instalação de ponto de entrega._x000a__x000a_Expectativa 05/10/2026;"/>
    <d v="2026-09-14T00:00:00"/>
    <s v="Obra 0202600755 - Por favor incluir na programação."/>
    <m/>
    <m/>
    <d v="2026-10-05T00:00:00"/>
    <m/>
    <m/>
    <s v="Amanda Aparecida Teixeira dos Santos"/>
    <s v=""/>
    <s v="Zé Teixeira_x000a_Paulo Roberto"/>
    <s v="Dian Cleiton de Brito"/>
    <s v="Sim"/>
    <s v="Visita Domo de Ferro"/>
    <d v="2026-09-15T00:00:00"/>
    <s v="Wander Idalino Machado"/>
    <d v="2026-09-15T00:00:00"/>
    <s v="Wander Idalino Machado"/>
    <n v="100"/>
    <n v="100"/>
    <n v="50"/>
    <s v="Programação de Obras e Gestão de Materiais"/>
    <m/>
    <s v="DCMD - PROGRAMAÇÃO DE OBRA"/>
    <s v="DOURADOS"/>
    <n v="6"/>
    <s v="6–15 dias"/>
    <s v="Dentro"/>
    <s v="Risco"/>
    <e v="#VALUE!"/>
    <n v="7"/>
  </r>
  <r>
    <s v="1120"/>
    <s v="Visita Domo de Ferro"/>
    <x v="1"/>
    <s v="DESC"/>
    <d v="2026-09-16T00:00:00"/>
    <s v="Dian Cleiton de Brito"/>
    <s v="Em Andamento"/>
    <x v="2"/>
    <s v="PONTE PRETA PARTICIPAÇÕES SOCIETÁRIAS LTDA"/>
    <s v="2952299"/>
    <s v=""/>
    <s v="CENTRO"/>
    <s v="Campo Grande"/>
    <s v="Governo do Estado"/>
    <s v="Campo Grande"/>
    <s v="SOLICITA AGILIZAR OS 558638822, considerando que a regularização foi executada._x000a__x000a_Expec 16/09/26"/>
    <d v="2026-09-16T00:00:00"/>
    <s v="Por favor agilizar atendimento da OS 563985314 - Vistoria Para Padronização."/>
    <m/>
    <m/>
    <d v="2026-09-16T00:00:00"/>
    <m/>
    <m/>
    <s v="Jorge Luis Martinelli"/>
    <s v=""/>
    <s v="Jaime Verruck_x000a_Paulo Roberto dos Santos"/>
    <s v="Dian Cleiton de Brito"/>
    <s v="Sim"/>
    <s v="Visita Domo de Ferro"/>
    <d v="2026-09-16T00:00:00"/>
    <s v="Wander Idalino Machado"/>
    <d v="2026-09-16T00:00:00"/>
    <s v="Wander Idalino Machado"/>
    <n v="100"/>
    <n v="100"/>
    <n v="50"/>
    <s v="Ligação Nova GA"/>
    <m/>
    <s v="DECP - LIGAÇÃO GA"/>
    <s v="CAMPO GRANDE"/>
    <n v="5"/>
    <s v="0–5 dias"/>
    <s v="Fora"/>
    <s v="Risco"/>
    <e v="#VALUE!"/>
    <n v="5"/>
  </r>
  <r>
    <s v="120"/>
    <s v="Visita Domo de Ferro"/>
    <x v="0"/>
    <s v="DCMD"/>
    <d v="2026-05-08T00:00:00"/>
    <s v="Dian Cleiton de Brito"/>
    <s v="Finalizada"/>
    <x v="1"/>
    <s v=""/>
    <s v=""/>
    <s v="0302500469"/>
    <s v="SUL"/>
    <s v="Bataguassu"/>
    <s v="Diretoria"/>
    <s v="Bataguassu"/>
    <s v="Solicita agilizar obra de ponto de entrega e loteamento - obra 0302500469_x000a_Expectativa - 10/06/26. PE 7175625_x000a__x000a_OBRAS ASSOCIADAS AO PE FINALIDAS."/>
    <d v="2026-08-03T00:00:00"/>
    <s v="Solicita agilizar obra de ponto de entrega e loteamento - obra 0302500469_x000a_Expectativa - 10/06/26. PE 7175625._x000a_Nova expectativa do cliente 31/07/2026."/>
    <d v="2026-08-13T00:00:00"/>
    <m/>
    <d v="2026-07-31T00:00:00"/>
    <m/>
    <m/>
    <s v="Amanda Aparecida Teixeira dos Santos"/>
    <s v="Gabriella Domingo"/>
    <s v="Paulo Roberto dos Santos"/>
    <s v="Dian Cleiton de Brito"/>
    <s v="Sim"/>
    <s v="Visita Domo de Ferro"/>
    <d v="2026-09-03T00:00:00"/>
    <s v="Moacir Costa Neto"/>
    <d v="2026-08-13T00:00:00"/>
    <s v="Gabriella Amorim Domingo"/>
    <n v="100"/>
    <n v="100"/>
    <n v="75"/>
    <s v=""/>
    <m/>
    <s v=""/>
    <s v="NOVA ANDRADINA"/>
    <n v="136"/>
    <s v="&gt;50 dias"/>
    <s v="Fora"/>
    <s v="Não risco"/>
    <e v="#VALUE!"/>
    <n v="10"/>
  </r>
  <r>
    <s v="120"/>
    <s v="Visita Domo de Ferro"/>
    <x v="0"/>
    <s v="DESC"/>
    <d v="2026-05-08T00:00:00"/>
    <s v="Dian Cleiton de Brito"/>
    <s v="Finalizada"/>
    <x v="1"/>
    <s v=""/>
    <s v=""/>
    <s v=""/>
    <s v="SUL"/>
    <s v="Bataguassu"/>
    <s v="Diretoria"/>
    <s v="Bataguassu"/>
    <s v="Solicita agilizar obra de ponto de entrega e loteamento - obra 0302500469_x000a_Expectativa - 10/06/26. PE 7175625_x000a__x000a_OBRAS ASSOCIADAS AO PE FINALIDAS."/>
    <d v="2026-06-22T00:00:00"/>
    <s v="Dian, gentileza reavaliar a expectativa do cliente._x000a_Solicita agilizar obra de ponto de entrega e loteamento - obra 0302500469_x000a_Expectativa - 10/06/26. PE 7175625"/>
    <d v="2026-08-25T00:00:00"/>
    <s v="Obras relacionadas ao PE concluídas."/>
    <m/>
    <m/>
    <d v="2026-08-25T00:00:00"/>
    <s v="Dian Cleiton de Brito"/>
    <s v="Wander Machado"/>
    <s v="Paulo Roberto dos Santos"/>
    <s v="Dian Cleiton de Brito"/>
    <s v="Sim"/>
    <s v="Visita Domo de Ferro"/>
    <d v="2026-09-03T00:00:00"/>
    <s v="Moacir Costa Neto"/>
    <d v="2026-08-25T00:00:00"/>
    <s v="Wander Idalino Machado"/>
    <n v="100"/>
    <n v="100"/>
    <n v="100"/>
    <s v=""/>
    <m/>
    <s v=""/>
    <s v="NOVA ANDRADINA"/>
    <n v="136"/>
    <s v="&gt;50 dias"/>
    <s v="Dentro"/>
    <s v="Não risco"/>
    <e v="#VALUE!"/>
    <n v="64"/>
  </r>
  <r>
    <s v="670"/>
    <s v="Visita Domo de Ferro"/>
    <x v="5"/>
    <s v="DCMD"/>
    <d v="2026-03-03T00:00:00"/>
    <s v="Danila Hertal Moreira Souza"/>
    <s v="Em Andamento"/>
    <x v="1"/>
    <s v=""/>
    <s v="9000076"/>
    <s v=""/>
    <s v="NORTE"/>
    <s v="Corumbá"/>
    <s v="Diretoria"/>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6-18T00:00:00"/>
    <s v="Status atual: Em atuação campo (DEOP/DCMD). _x000a_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9-04T00:00:00"/>
    <s v="Podas e limpeza de faixas concluidas dia 04/09/26"/>
    <d v="2026-07-31T00:00:00"/>
    <m/>
    <d v="2026-09-04T00:00:00"/>
    <s v="Evair Rogerio da Conceicao"/>
    <s v="Gabriella Domingo"/>
    <m/>
    <s v="Danila Hertal Moreira Souza"/>
    <s v="Sim"/>
    <s v="Visita Domo de Ferro"/>
    <d v="2026-09-04T00:00:00"/>
    <s v="Gabriella Amorim Domingo"/>
    <d v="2026-09-04T00:00:00"/>
    <s v="Gabriella Amorim Domingo"/>
    <n v="100"/>
    <n v="100"/>
    <n v="100"/>
    <s v=""/>
    <m/>
    <s v=""/>
    <s v="CORUMBA"/>
    <n v="202"/>
    <s v="&gt;50 dias"/>
    <s v="Fora"/>
    <s v="Não risco"/>
    <e v="#VALUE!"/>
    <n v="78"/>
  </r>
  <r>
    <s v="670"/>
    <s v="Visita Domo de Ferro"/>
    <x v="2"/>
    <s v="DEOP"/>
    <d v="2026-03-03T00:00:00"/>
    <s v="Danila Hertal Moreira Souza"/>
    <s v="Em Andamento"/>
    <x v="0"/>
    <s v=""/>
    <s v="9000076"/>
    <s v=""/>
    <s v="NORTE"/>
    <s v="Corumbá"/>
    <s v="Diretoria"/>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7-30T00:00:00"/>
    <s v="Conforme pactuado na reunião de qualidade realizada em 23/07/2026, ficou como saída a instalação de 07 medidores para avaliação dos níveis de tensão das unidades reclamadas e refazer os estudos de religamentos. Conforme alinhado o DESC planilhou as unidades consumidoras por ordem de prioridade para as devidas atuações (planilha em anexo)."/>
    <d v="2026-09-04T00:00:00"/>
    <m/>
    <m/>
    <m/>
    <m/>
    <s v="Luan Henrique Soares Diniz Afonso"/>
    <s v="Gabriella Domingo"/>
    <m/>
    <s v="Danila Hertal Moreira Souza"/>
    <s v="Sim"/>
    <s v="Visita Domo de Ferro"/>
    <d v="2026-09-04T00:00:00"/>
    <s v="Gabriella Amorim Domingo"/>
    <d v="2026-09-04T00:00:00"/>
    <s v="Gabriella Amorim Domingo"/>
    <n v="100"/>
    <n v="100"/>
    <n v="100"/>
    <s v=""/>
    <m/>
    <s v=""/>
    <s v="CORUMBA"/>
    <n v="202"/>
    <s v="&gt;50 dias"/>
    <s v="Dentro"/>
    <s v="Não risco"/>
    <e v="#VALUE!"/>
    <n v="36"/>
  </r>
  <r>
    <s v="670"/>
    <s v="Visita Domo de Ferro"/>
    <x v="2"/>
    <s v="DESC"/>
    <d v="2026-03-03T00:00:00"/>
    <s v="Danila Hertal Moreira Souza"/>
    <s v="Em Andamento"/>
    <x v="1"/>
    <s v=""/>
    <s v="9000076"/>
    <s v=""/>
    <s v="NORTE"/>
    <s v="Corumbá"/>
    <s v="Diretoria"/>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8-07T00:00:00"/>
    <s v="Notificar cliente sobre o andamento das ações e necessidade de apresentação de estudo de proteção, avaliar possível problemas internos"/>
    <d v="2026-08-21T00:00:00"/>
    <s v="NOTIFICAÇÃO ENVIADA"/>
    <m/>
    <d v="2026-08-18T00:00:00"/>
    <d v="2026-08-21T00:00:00"/>
    <s v="Julio Cesar dos Santos Antonelo"/>
    <s v="Julio Antonelo"/>
    <m/>
    <s v="Danila Hertal Moreira Souza"/>
    <s v="Sim"/>
    <s v="Visita Domo de Ferro"/>
    <d v="2026-08-25T00:00:00"/>
    <s v="Moacir Costa Neto"/>
    <d v="2026-08-21T00:00:00"/>
    <s v="Julio Cesar dos Santos Antonelo"/>
    <n v="100"/>
    <n v="100"/>
    <n v="100"/>
    <s v=""/>
    <m/>
    <s v=""/>
    <s v="CORUMBA"/>
    <n v="202"/>
    <s v="&gt;50 dias"/>
    <s v="Dentro"/>
    <s v="Não risco"/>
    <e v="#VALUE!"/>
    <n v="14"/>
  </r>
  <r>
    <s v="670"/>
    <s v="Visita Domo de Ferro"/>
    <x v="6"/>
    <s v="DESC"/>
    <d v="2026-03-03T00:00:00"/>
    <s v="Danila Hertal Moreira Souza"/>
    <s v="Em Andamento"/>
    <x v="0"/>
    <s v="Sanesul"/>
    <s v="9000076"/>
    <s v=""/>
    <s v="NORTE"/>
    <s v="Corumbá"/>
    <s v="Diretoria"/>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9-09T00:00:00"/>
    <s v="Após a conclusão das ações por parte DEOP/DCMD, elaborar parecer e retornar ao cliente com as devolutivas."/>
    <m/>
    <m/>
    <m/>
    <m/>
    <m/>
    <s v="Julio Cesar dos Santos Antonelo"/>
    <s v=""/>
    <m/>
    <s v="Danila Hertal Moreira Souza"/>
    <s v="Sim"/>
    <s v="Visita Domo de Ferro"/>
    <d v="2026-09-09T00:00:00"/>
    <s v="Rafael Penteado Rodrigues Martins"/>
    <d v="2026-09-09T00:00:00"/>
    <s v="Rafael Penteado Rodrigues Martins"/>
    <n v="100"/>
    <n v="100"/>
    <n v="50"/>
    <s v=""/>
    <m/>
    <s v="CGCP"/>
    <s v="CORUMBA"/>
    <n v="202"/>
    <s v="&gt;50 dias"/>
    <s v="Dentro"/>
    <s v="Não risco"/>
    <e v="#VALUE!"/>
    <n v="12"/>
  </r>
  <r>
    <s v="824"/>
    <s v="Visita Domo de Ferro"/>
    <x v="2"/>
    <s v="DEOP"/>
    <d v="2026-06-11T00:00:00"/>
    <s v="Monike Chaves"/>
    <s v="Em Andamento"/>
    <x v="2"/>
    <s v=""/>
    <s v=""/>
    <s v=""/>
    <s v="SUL"/>
    <s v="ELDORADO"/>
    <s v="Prefeitura"/>
    <s v="Eldorado"/>
    <s v="ATA DE REUNIÃO – ASSENTAMENTO FLORESTA BRANCA_x000a__x000a_Data: 11 de junho de 2026_x000a_Local: Município de Eldorado/MS_x000a_Participantes: Representantes da Prefeitura Municipal, Energisa MS, Vereadora Mara, moradores e produtores rurais do Assentamento Floresta Branca._x000a__x000a_Aos onze dias do mês de junho de dois mil e vinte e seis, realizou-se reunião entre representantes da Prefeitura Municipal de Eldorado, da Energisa MS e moradores do Assentamento Floresta Branca, com o objetivo de discutir os problemas relacionados ao fornecimento de energia elétrica na comunidade._x000a__x000a_A Prefeita Municipal abriu a reunião agradecendo a presença de todos e destacou a importância da participação da Vereadora Mara como representante da comunidade, enfatizando a necessidade de união entre população, poder público e concessionária para a busca de soluções efetivas._x000a__x000a_Durante a reunião, os moradores relataram diversos problemas relacionados ao fornecimento de energia elétrica, entre eles:_x000a__x000a_* Quedas frequentes de energia, principalmente durante chuvas e ventos;_x000a_* Oscilações constantes de tensão;_x000a_* Rompimento de cabos da rede elétrica;_x000a_* Queima de eletrodomésticos, motores, bombas d’água, ordenhadeiras, resfriadores de leite e outros equipamentos;_x000a_* Demora no atendimento das ocorrências registradas junto à concessionária;_x000a_* Problemas em transformadores considerados insuficientes para atender à demanda atual das propriedades;_x000a_* Dificuldades para obtenção de ressarcimento por danos elétricos._x000a__x000a_A Vereadora Mara destacou que as reclamações são recorrentes e afetam grande parte das famílias do assentamento, mencionando casos específicos de prejuízos financeiros causados pela queima de equipamentos e pela interrupção das atividades produtivas._x000a__x000a_Representando a Energisa, o Supervisor de Construção e Manutenção, Sr. André, esclareceu os procedimentos adotados pela empresa, destacando a necessidade de registro das ocorrências por meio dos canais oficiais de atendimento e a importância da atualização cadastral das unidades consumidoras, especialmente quanto à declaração de carga instalada nas propriedades._x000a__x000a__x000a_Ficaram definidos os seguintes encaminhamentos:_x000a__x000a_1. A Energisa realizará uma inspeção geral na rede elétrica do Assentamento Floresta Branca;_x000a_2. Será efetuado levantamento das necessidades de poda de vegetação próxima à rede elétrica;_x000a_3. Serão analisados os casos de transformadores com possível necessidade de adequação ou aumento de capacidade;_x000a_4. A concessionária avaliará os protocolos de ressarcimento e as solicitações já registradas pelos moradores;_x000a_5. Será criado um grupo de comunicação entre representantes da comunidade e a Energisa para acompanhamento das demandas e divulgação das ações executadas;_x000a_6. A Energisa comprometeu-se a apresentar retorno à comunidade após a realização das inspeções e análises técnicas._x000a__x000a_Ao final da reunião, a Prefeita informou que o município está providenciando melhorias nas estradas do assentamento, mediante utilização de material fresado asfáltico recentemente disponibilizado para manutenção dos trechos mais críticos._x000a__x000a_Nada mais havendo a tratar, a reunião foi encerrada, ficando registrados os compromissos assumidos pelas partes para acompanhamento e solução das demandas apresentadas._x000a__x000a_Eldorado/MS, 11 de junho de 2026."/>
    <d v="2026-07-08T00:00:00"/>
    <s v="Ficaram definidos os seguintes encaminhamentos:_x000a__x000a_1. A Energisa realizará uma inspeção geral na rede elétrica do Assentamento Floresta Branca;_x000a_2. Será efetuado levantamento das necessidades de poda de vegetação próxima à rede elétrica;_x000a_3. Serão analisados os casos de transformadores com possível necessidade de adequação ou aumento de capacidade;_x000a_4. A concessionária avaliará os protocolos de ressarcimento e as solicitações já registradas pelos moradores;_x000a_5. Será criado um grupo de comunicação entre representantes da comunidade e a Energisa para acompanhamento das demandas e divulgação das ações executadas;_x000a_6. A Energisa comprometeu-se a apresentar retorno à comunidade após a realização das inspeções e análises técnicas._x000a__x000a_LUAN, QUAL PREVISÃO DAS CONCLUSÕES DAS AÇÕES?"/>
    <d v="2026-08-18T00:00:00"/>
    <m/>
    <m/>
    <m/>
    <m/>
    <s v="Luan Henrique Soares Diniz Afonso"/>
    <s v="Bruna Santos"/>
    <s v="Prefeita Fabiana_x000a_Vereadora Mara_x000a_Assentados _x000a_Andre Guilherme _x000a_Paulo Giovani"/>
    <s v="Monike Chaves"/>
    <s v="Sim"/>
    <s v="Agente de Relacionamento"/>
    <d v="2026-09-03T00:00:00"/>
    <s v="Moacir Costa Neto"/>
    <d v="2026-08-18T00:00:00"/>
    <s v="Bruna Fabiana Braguin dos Santos"/>
    <n v="100"/>
    <n v="100"/>
    <n v="75"/>
    <s v=""/>
    <m/>
    <s v=""/>
    <s v="NAVIRAI"/>
    <n v="102"/>
    <s v="&gt;50 dias"/>
    <s v="Dentro"/>
    <s v="Não risco"/>
    <e v="#VALUE!"/>
    <n v="41"/>
  </r>
  <r>
    <s v="825"/>
    <s v="Visita Domo de Ferro"/>
    <x v="7"/>
    <s v="DCMD"/>
    <d v="2026-07-03T00:00:00"/>
    <s v="Monike Chaves"/>
    <s v="Finalizada"/>
    <x v="1"/>
    <s v=""/>
    <s v=""/>
    <s v=""/>
    <s v="SUL"/>
    <s v="Tacuru"/>
    <s v="Prefeitura"/>
    <s v="Tacuru"/>
    <s v="OS 877 - ORÇAMENTO_x000a__x000a_OS 548014238 - KATILENE_x000a_OS 548017784 - VILINA_x000a_OS 548023636 - MARILENE_x000a__x000a_SOLICITAÇÃO APOS REUNIÃO"/>
    <d v="2026-07-09T00:00:00"/>
    <s v="OS 877 - ORÇAMENTO_x000a_OS 548014238 - KATILENE_x000a_OS 548017784 - VILINA_x000a_OS 548023636 - MARILENE_x000a_SOLICITAÇÃO APOS REUNIÃO._x000a_Por favor agilizar atendimento das ordens de serviço supracitadas."/>
    <d v="2026-08-18T00:00:00"/>
    <s v="OS'S FINALIZADAS"/>
    <m/>
    <d v="2026-08-04T00:00:00"/>
    <d v="2026-08-04T00:00:00"/>
    <s v="Bruna Victoria Rodrigues Ricardes"/>
    <s v="Bruna Santos"/>
    <s v="Rui Pires AGEHAB"/>
    <s v=""/>
    <s v="Sim"/>
    <s v="Visita Domo de Ferro"/>
    <d v="2026-09-03T00:00:00"/>
    <s v="Moacir Costa Neto"/>
    <d v="2026-08-18T00:00:00"/>
    <s v="Bruna Fabiana Braguin dos Santos"/>
    <n v="100"/>
    <n v="100"/>
    <n v="75"/>
    <s v=""/>
    <m/>
    <s v=""/>
    <s v="NAVIRAI"/>
    <n v="80"/>
    <s v="&gt;50 dias"/>
    <s v="Dentro"/>
    <s v="Não risco"/>
    <e v="#VALUE!"/>
    <n v="40"/>
  </r>
  <r>
    <s v="831"/>
    <s v="Visita Domo de Ferro"/>
    <x v="0"/>
    <s v="DCMD"/>
    <d v="2026-07-08T00:00:00"/>
    <s v="Monike Chaves"/>
    <s v="Finalizada"/>
    <x v="1"/>
    <s v=""/>
    <s v=""/>
    <s v="0502600521"/>
    <s v="SUL"/>
    <s v="Tacuru"/>
    <s v="Prefeitura"/>
    <s v="Tacuru"/>
    <s v="Prefeito de Tacuru informou que o posto de saúde será construído com recursos federal e tem prazos. Agradeço analise a OS 545194335."/>
    <d v="2026-08-12T00:00:00"/>
    <s v="Por favor verificar possibilidade de agilizar atendimento da Obra 0502600521."/>
    <d v="2026-08-24T00:00:00"/>
    <m/>
    <d v="2026-08-19T00:00:00"/>
    <m/>
    <d v="2026-08-18T00:00:00"/>
    <s v="Amanda Aparecida Teixeira dos Santos"/>
    <s v="Rafaela Almeida"/>
    <s v="Prefeito Rogerio."/>
    <s v="Jonas Ortiz Rudis"/>
    <s v="Sim"/>
    <s v="Visita Domo de Ferro"/>
    <d v="2026-09-03T00:00:00"/>
    <s v="Moacir Costa Neto"/>
    <d v="2026-08-24T00:00:00"/>
    <s v="Rafaela Mattos de Almeida"/>
    <n v="100"/>
    <n v="100"/>
    <n v="100"/>
    <s v=""/>
    <m/>
    <s v=""/>
    <s v="NAVIRAI"/>
    <n v="75"/>
    <s v="&gt;50 dias"/>
    <s v="Dentro"/>
    <s v="Não risco"/>
    <e v="#VALUE!"/>
    <n v="12"/>
  </r>
  <r>
    <s v="847"/>
    <s v="Visita Domo de Ferro"/>
    <x v="0"/>
    <s v="DCMD"/>
    <d v="2026-07-10T00:00:00"/>
    <s v="Monike Chaves"/>
    <s v="Finalizada"/>
    <x v="1"/>
    <s v=""/>
    <s v=""/>
    <s v="0402500933"/>
    <s v="SUL"/>
    <s v="Ponta Porã"/>
    <s v="Prefeitura"/>
    <s v="Ponta Porã"/>
    <s v="A solicitação refere-se a um poste localizado dentro do terreno da cliente, o que tem gerado diversos transtornos, pois ela precisa realizar manobras e desvios sempre que entra ou sai com seu veículo._x000a__x000a_Além disso, a cliente compareceu à agência bastante insatisfeita, relatando que um vizinho, cuja solicitação de obra foi registrada posteriormente, já está sendo atendido por uma intervenção na mesma rede, o que tem aumentado sua percepção de demora no atendimento do próprio pedido._x000a__x000a_Central do Cliente (12/08/2026): Em análise foi identificado que a obra 040-25-00933 encontra-se concluída fisicamente (04/08/2026)."/>
    <d v="2026-07-10T00:00:00"/>
    <s v="A solicitação refere-se a um poste localizado dentro do terreno da cliente, o que tem gerado diversos transtornos, pois ela precisa realizar manobras e desvios sempre que entra ou sai com seu veículo._x000a__x000a_Além disso, a cliente compareceu à agência bastante insatisfeita, relatando que um vizinho, cuja solicitação de obra foi registrada posteriormente, já está sendo atendido por uma intervenção na mesma rede, o que tem aumentado sua percepção de demora no atendimento do próprio pedido._x000a_Obra: 0402500933"/>
    <d v="2026-08-04T00:00:00"/>
    <s v="obra concluída 31/07"/>
    <d v="2026-07-31T00:00:00"/>
    <d v="2026-07-31T00:00:00"/>
    <d v="2026-07-31T00:00:00"/>
    <s v="Felipe Souza do Nascimento"/>
    <s v="Amanda Santos"/>
    <s v="Cliente esteve na prefeitura e na agencia de atendimento informando que irá acionar a TV, pois o prazo de relocação do poste de dentro do seu terreno está vencido, e diarimente ela tem que deixar seu carro fora de casa."/>
    <s v=""/>
    <s v="Sim"/>
    <s v="Visita Domo de Ferro"/>
    <d v="2026-09-03T00:00:00"/>
    <s v="Moacir Costa Neto"/>
    <d v="2026-08-04T00:00:00"/>
    <s v="Amanda Aparecida Teixeira dos Santos"/>
    <n v="100"/>
    <n v="100"/>
    <n v="100"/>
    <s v=""/>
    <m/>
    <s v=""/>
    <s v="PONTA PORA"/>
    <n v="73"/>
    <s v="&gt;50 dias"/>
    <s v="Dentro"/>
    <s v="Não risco"/>
    <e v="#VALUE!"/>
    <n v="25"/>
  </r>
  <r>
    <s v="861"/>
    <s v="Visita Domo de Ferro"/>
    <x v="0"/>
    <s v="DCMD"/>
    <d v="2026-07-14T00:00:00"/>
    <s v="Monike Chaves"/>
    <s v="Finalizada"/>
    <x v="1"/>
    <s v=""/>
    <s v=""/>
    <s v=""/>
    <s v="SUL"/>
    <s v="Dourados"/>
    <s v="Prefeitura"/>
    <s v="Dourados"/>
    <s v="Rua Araxá _x000a_OS 549831406_x000a_ _x000a_Rua Delci leite Doffinger_x000a_OS 549837530_x000a__x000a_Gentielza analisar a liberação desse orçamento antes do prazo de 30 dias, foi um erro interno que não gerou todas as ligações do ofício."/>
    <d v="2026-07-14T00:00:00"/>
    <s v="* Rua Araxá - OS 549831406_x000a_*Rua Delci leite Doffinger - OS 549837530_x000a_Gentileza analisar a liberação desses orçamentos antes do prazo de 30 dias, foi um erro interno que não gerou todas as ligações do ofício."/>
    <d v="2026-08-20T00:00:00"/>
    <m/>
    <d v="2026-09-23T00:00:00"/>
    <d v="2026-07-24T00:00:00"/>
    <d v="2026-08-10T00:00:00"/>
    <s v="Bruna Victoria Rodrigues Ricardes"/>
    <s v="Rafaela Almeida"/>
    <s v="Neilton  - Engenheiro responsavel"/>
    <s v=""/>
    <s v="Sim"/>
    <s v="Agente de Relacionamento"/>
    <d v="2026-09-03T00:00:00"/>
    <s v="Moacir Costa Neto"/>
    <d v="2026-08-20T00:00:00"/>
    <s v="Rafaela Mattos de Almeida"/>
    <n v="100"/>
    <n v="100"/>
    <n v="100"/>
    <s v=""/>
    <m/>
    <s v=""/>
    <s v="DOURADOS"/>
    <n v="69"/>
    <s v="&gt;50 dias"/>
    <s v="Dentro"/>
    <s v="Risco"/>
    <e v="#VALUE!"/>
    <n v="37"/>
  </r>
  <r>
    <s v="869"/>
    <s v="Visita Domo de Ferro"/>
    <x v="0"/>
    <s v="DCMD"/>
    <d v="2026-07-14T00:00:00"/>
    <s v="Availdo Taveira de Oliveira"/>
    <s v="Finalizada"/>
    <x v="1"/>
    <s v=""/>
    <s v=""/>
    <s v="0152600219"/>
    <s v="NORTE"/>
    <s v="Jardim"/>
    <s v="Prefeitura"/>
    <s v="Jardim"/>
    <s v="Visita Domo de Ferro. _x000a_Por favor agilizar atendimento da Obra 0152600219._x000a_Expectativa do Cliente 31/07/2026._x000a_Solicitado apoio pelo vice-prefeito do municipio._x000a_Sem anexos._x000a__x000a_Central do Cliente (12/08/2026): Em análise foi identificado que a construção física da Obra 0152600219 está concluída"/>
    <d v="2026-07-15T00:00:00"/>
    <s v="Visita Domo de Ferro. _x000a_Por favor agilizar atendimento da Obra 0152600219._x000a_Expectativa do Cliente 31/07/2026._x000a_Solicitado apoio pelo vice-prefeito do município._x000a_Sem anexos._x000a_Availdo já alinhou o atendimento com o Supervisor Paulo Vitor e Coordenador Eduardo Batalha."/>
    <d v="2026-07-22T00:00:00"/>
    <s v="OBRA CONCLUIDA 17/07"/>
    <d v="2026-07-31T00:00:00"/>
    <m/>
    <d v="2026-07-17T00:00:00"/>
    <s v="Felipe Souza do Nascimento"/>
    <s v="Amanda Santos"/>
    <s v="Agente de Relacionamento Availdo"/>
    <s v="Availdo Taveira de Oliveira"/>
    <s v="Sim"/>
    <s v="Visita Domo de Ferro"/>
    <d v="2026-09-03T00:00:00"/>
    <s v="Moacir Costa Neto"/>
    <d v="2026-07-22T00:00:00"/>
    <s v="Amanda Aparecida Teixeira dos Santos"/>
    <n v="100"/>
    <n v="100"/>
    <n v="100"/>
    <s v=""/>
    <m/>
    <s v=""/>
    <s v="JARDIM"/>
    <n v="69"/>
    <s v="&gt;50 dias"/>
    <s v="Dentro"/>
    <s v="Não risco"/>
    <e v="#VALUE!"/>
    <n v="7"/>
  </r>
  <r>
    <s v="875"/>
    <s v="Visita Domo de Ferro"/>
    <x v="0"/>
    <s v="DCMD"/>
    <d v="2026-07-16T00:00:00"/>
    <s v="Monike Chaves"/>
    <s v="Finalizada"/>
    <x v="1"/>
    <s v=""/>
    <s v=""/>
    <s v=""/>
    <s v="SUL"/>
    <s v="Ponta Porã"/>
    <s v="Prefeitura"/>
    <s v="Ponta Porã"/>
    <s v="Gentielza priorizar tratativa de obra do loteamento de Ponta Porã, está parado a verba na caixa economica e tem prazos. OS 551631953. Documentos anexo a OS."/>
    <d v="2026-07-16T00:00:00"/>
    <s v="Gentileza priorizar tratativa de obra do loteamento de Ponta Porã, está parado a verba na caixa econômica e tem prazos. OS 551631953 Orçamento de Conexão.. Documentos anexo a OS."/>
    <d v="2026-08-18T00:00:00"/>
    <s v="TRATA-SE DE LOTEAMENTO, DEVE TER PE PARA SEGUIMENTO"/>
    <d v="2026-07-31T00:00:00"/>
    <m/>
    <d v="2026-08-18T00:00:00"/>
    <s v="Bruna Victoria Rodrigues Ricardes"/>
    <s v="Bruna Santos"/>
    <s v="secretario de obras Joelson"/>
    <s v=""/>
    <s v="Sim"/>
    <s v="Visita Domo de Ferro"/>
    <d v="2026-09-03T00:00:00"/>
    <s v="Moacir Costa Neto"/>
    <d v="2026-08-18T00:00:00"/>
    <s v="Bruna Fabiana Braguin dos Santos"/>
    <n v="100"/>
    <n v="100"/>
    <n v="100"/>
    <s v=""/>
    <m/>
    <s v=""/>
    <s v="PONTA PORA"/>
    <n v="67"/>
    <s v="&gt;50 dias"/>
    <s v="Fora"/>
    <s v="Não risco"/>
    <e v="#VALUE!"/>
    <n v="33"/>
  </r>
  <r>
    <s v="893"/>
    <s v="Visita Domo de Ferro"/>
    <x v="1"/>
    <s v="DESC"/>
    <d v="2026-07-22T00:00:00"/>
    <s v="Dian Cleiton de Brito"/>
    <s v="Em Andamento"/>
    <x v="2"/>
    <s v="Reinaldo Jobes Gonçalves"/>
    <s v=""/>
    <s v="0602600372"/>
    <s v="CENTRO"/>
    <s v="Inocência"/>
    <s v="Prefeitura"/>
    <s v="Inocência"/>
    <s v="Obra para atender a usina de asfalto responsavel pelas obras no município._x000a__x000a_&quot;Usina de Asfalto para Pavimentação da MS316, que está necessitando dessa área, já irão iniciar a cobertura com a Capa de Asfalto.&quot;_x000a__x000a_Expectativa:. 20/08/26."/>
    <d v="2026-09-18T00:00:00"/>
    <s v="Por favor entrar em contato com o cliente para repactuação da expectativa."/>
    <m/>
    <m/>
    <m/>
    <m/>
    <m/>
    <s v="Marcelly Arce Avalo Franca"/>
    <s v=""/>
    <s v="Antonio Ãngelo - Prefeito"/>
    <s v="Dian Cleiton de Brito"/>
    <s v="Sim"/>
    <s v="Visita Domo de Ferro"/>
    <d v="2026-09-18T00:00:00"/>
    <s v="Wander Idalino Machado"/>
    <d v="2026-09-18T00:00:00"/>
    <s v="Wander Idalino Machado"/>
    <n v="100"/>
    <n v="100"/>
    <n v="50"/>
    <s v="Relacionamento com cliente"/>
    <m/>
    <s v="CGCP"/>
    <s v="PARANAIBA"/>
    <n v="61"/>
    <s v="&gt;50 dias"/>
    <s v="Dentro"/>
    <s v="Não risco"/>
    <e v="#VALUE!"/>
    <n v="3"/>
  </r>
  <r>
    <s v="893"/>
    <s v="Visita Domo de Ferro"/>
    <x v="0"/>
    <s v="DCMD"/>
    <d v="2026-07-22T00:00:00"/>
    <s v="Dian Cleiton de Brito"/>
    <s v="Em Andamento"/>
    <x v="2"/>
    <s v="Reinaldo Jobes Gonçalves"/>
    <s v=""/>
    <s v="0602600372"/>
    <s v="CENTRO"/>
    <s v="Inocência"/>
    <s v="Prefeitura"/>
    <s v="Inocência"/>
    <s v="Obra para atender a usina de asfalto responsavel pelas obras no município._x000a__x000a_&quot;Usina de Asfalto para Pavimentação da MS316, que está necessitando dessa área, já irão iniciar a cobertura com a Capa de Asfalto.&quot;_x000a__x000a_Expectativa:. 20/08/26."/>
    <d v="2026-09-18T00:00:00"/>
    <s v="Obra 0602600372 - Por favor incluir na programação."/>
    <m/>
    <m/>
    <m/>
    <m/>
    <m/>
    <s v="Amanda Aparecida Teixeira dos Santos"/>
    <s v=""/>
    <s v="Antonio Ãngelo - Prefeito"/>
    <s v="Dian Cleiton de Brito"/>
    <s v="Sim"/>
    <s v="Visita Domo de Ferro"/>
    <d v="2026-09-18T00:00:00"/>
    <s v="Wander Idalino Machado"/>
    <d v="2026-09-18T00:00:00"/>
    <s v="Wander Idalino Machado"/>
    <n v="100"/>
    <n v="100"/>
    <n v="50"/>
    <s v="Programação de Obras e Gestão de Materiais"/>
    <m/>
    <s v="DCMD - PROGRAMAÇÃO DE OBRA"/>
    <s v="PARANAIBA"/>
    <n v="61"/>
    <s v="&gt;50 dias"/>
    <s v="Dentro"/>
    <s v="Não risco"/>
    <e v="#VALUE!"/>
    <n v="3"/>
  </r>
  <r>
    <s v="898"/>
    <s v="Visita Domo de Ferro"/>
    <x v="4"/>
    <s v="DESC"/>
    <d v="2026-07-22T00:00:00"/>
    <s v="Monike Chaves"/>
    <s v="Finalizada"/>
    <x v="1"/>
    <s v=""/>
    <s v=""/>
    <s v="0302500580 - 0302600271 - 0302600248"/>
    <s v="SUL"/>
    <s v="Angélica"/>
    <s v="Prefeitura"/>
    <s v="Angélica"/>
    <s v="ATA DE REUNIÃO_x000a__x000a_Data: 23/07 2026_x000a_Local: Prefeitura Municipal de Angélica – MS_x000a_Participantes: Representantes da Prefeitura Municipal de Angélica, Energisa MS, Secretários Municipais._x000a__x000a_Pauta_x000a__x000a_* Fortalecimento da parceria entre Prefeitura e Energisa._x000a_* Manejo da arborização urbana e convênio de poda._x000a_* Programação de desligamentos e intervenções na rede elétrica._x000a_* Demandas relacionadas à qualidade do fornecimento de energia._x000a_* Sobrecarga da rede elétrica e aumento de carga._x000a_* Acompanhamento de solicitações técnicas em unidades públicas._x000a__x000a_Desenvolvimento da reunião_x000a__x000a_A reunião teve como objetivo alinhar o relacionamento entre a Prefeitura de Angélica e a Energisa, fortalecendo a comunicação entre as equipes técnicas e operacionais para agilizar o atendimento das demandas do município._x000a__x000a_Inicialmente, foi apresentada a estrutura operacional da Energisa responsável pela região sul do Estado, destacando o atendimento realizado pelas equipes locais, pelo supervisor regional e pelo técnico responsável pela área, bem como os canais de atendimento disponíveis para o município._x000a__x000a_O prefeito ressaltou que um dos principais desafios enfrentados atualmente é a arborização urbana. Foi informado que diversas árvores foram plantadas em gestões anteriores sem planejamento adequado, estando hoje em conflito com a rede elétrica, o que ocasiona interrupções no fornecimento de energia, riscos operacionais e aumento dos custos de manutenção._x000a__x000a_Também foi relatada a dificuldade em programar desligamentos da rede para execução das podas, reforçando a necessidade de maior integração entre Prefeitura e Energisa para planejamento conjunto das intervenções._x000a__x000a_A Energisa esclareceu que, atualmente, os desligamentos programados são bastante restritos em razão das exigências regulatórias da ANEEL, motivo pelo qual a concessionária prioriza, sempre que possível, a utilização de equipes de Linha Viva para realização dos serviços com a rede energizada._x000a__x000a_Como alternativa, foi sugerido que a Prefeitura encaminhe, com antecedência, sua programação semanal ou pontual de podas por meio de ofício direcionado ao canal de atendimento do Poder Público. Dessa forma, a concessionária poderá avaliar cada situação e compatibilizar o cronograma das equipes._x000a__x000a_Durante a reunião foi destacado que o município possui interesse em manter uma parceria permanente com a Energisa para que as equipes possam atuar de forma coordenada, evitando riscos, reduzindo impactos à população e garantindo maior eficiência nas ações._x000a__x000a_Na sequência, foi discutido o Convênio de Poda encaminhado anteriormente pela Energisa ao município. Ficou registrado que o documento foi enviado à Secretaria Municipal de Meio Ambiente e será verificada sua tramitação para assinatura._x000a__x000a_Foi reforçado que o convênio prevê:_x000a__x000a_* atuação da Energisa nas podas emergenciais e nas intervenções em vegetação que oferece risco à rede elétrica;_x000a_* apoio da Prefeitura na retirada e destinação dos resíduos vegetais;_x000a_* maior agilidade nas autorizações necessárias;_x000a_* segurança jurídica para execução dos serviços;_x000a_* possibilidade de atendimento de árvores em situação crítica mediante solicitação formal do município._x000a__x000a_O prefeito destacou que o convênio auxiliará o município perante os órgãos de fiscalização e controle, além de facilitar o planejamento das futuras intervenções._x000a__x000a_Também foi apresentada pela Energisa a possibilidade de utilização do viveiro de mudas da concessionária para doação de espécies adequadas ao plantio urbano, incentivando a substituição gradual das árvores incompatíveis com a rede elétrica por espécies apropriadas._x000a__x000a_Na sequência, foram discutidas ocorrências relacionadas ao fornecimento de energia elétrica._x000a__x000a_Foi citado como exemplo positivo um problema recorrente em determinado setor da cidade que foi solucionado após a retirada de uma árvore em conflito com a rede elétrica, eliminando as interrupções registradas anteriormente._x000a__x000a_O prefeito também relatou ocorrências de oscilações de tensão em alguns bairros e destacou a necessidade de análise técnica sempre que identificadas situações semelhantes._x000a__x000a_A Energisa explicou que diversos casos decorrem do aumento de carga das unidades consumidoras, quando os clientes ampliam suas instalações elétricas sem comunicar previamente a distribuidora. Nesses casos, é necessária a solicitação formal para análise e eventual redimensionamento da carga._x000a__x000a_Outro tema abordado foi o crescimento da geração distribuída por meio de sistemas fotovoltaicos._x000a__x000a_A Energisa explicou que o aumento expressivo das instalações de energia solar tem provocado novos desafios operacionais em todo o Estado, exigindo elevados investimentos em ampliação e modernização do sistema elétrico. Informou ainda que o plano de investimentos da concessionária contempla aproximadamente R$ 1 bilhão em obras para reforço da rede elétrica._x000a__x000a_Em relação às unidades públicas, foi discutida a situação da Escola Municipal Napoleão._x000a__x000a_A Prefeitura informou que a unidade apresenta dificuldades para utilização dos aparelhos de ar-condicionado, principalmente após a instalação de um empreendimento comercial nas proximidades._x000a__x000a_Foi esclarecido que a escola possui três unidades consumidoras (três medidores), distribuídas entre os blocos da edificação, e que já havia sido encaminhada solicitação anterior para análise do transformador._x000a__x000a_A Energisa informou que realizará:_x000a__x000a_* verificação da carga cadastrada da unidade;_x000a_* análise dos ofícios anteriormente protocolados;_x000a_* aferição dos níveis de tensão;_x000a_* avaliação da necessidade de medições em campo;_x000a_* estudo sobre eventual redimensionamento da instalação._x000a__x000a_Também foi solicitado que sejam encaminhados novamente os números dos protocolos anteriores e fotografias dos medidores para facilitar a análise._x000a__x000a_Durante a reunião surgiu ainda a possibilidade de ampliar a avaliação para todo o complexo escolar, incluindo a creche localizada na mesma quadra, totalizando quatro unidades consumidoras._x000a__x000a_Ao final, os participantes reforçaram a importância da manutenção da comunicação direta entre Prefeitura e Energisa para solução rápida das demandas técnicas, planejamento das podas, melhorias na qualidade do fornecimento de energia e fortalecimento da parceria institucional._x000a__x000a_Encaminhamentos_x000a__x000a_1. Verificar internamente a situação do Convênio de Poda encaminhado pela Energisa e providenciar sua formalização._x000a_2. A Prefeitura encaminhará programação de podas por meio de ofício ao canal do Poder Público da Energisa._x000a_3. A Energisa realizará análise técnica da Escola Municipal Napoleão, incluindo medição de tensão e avaliação da carga instalada._x000a_4. A Prefeitura enviará novamente os protocolos anteriores e fotografias dos medidores da unidade escolar._x000a_5. Avaliar tecnicamente todo o complexo escolar, incluindo a creche localizada na mesma quadra._x000a_6. Manter comunicação direta entre as equipes técnicas para programação de intervenções na rede elétrica e manejo da arborização urbana._x000a_7. Fortalecer a parceria para substituição gradual de espécies arbóreas inadequadas por espécies compatíveis com a rede elétrica._x000a_E por ultimo ateção na obra 0302600271 - 0302600248, mudança de postes para atender demanda com urgencia 0, recurso parado. 0302500580 e poste com risco de barida pois está no meio da rua."/>
    <d v="2026-07-23T00:00:00"/>
    <s v="Agente Monike, informo que as obras mencionadas já estão cadastradas no APP da Central._x000a_Obra 0302600271 - suspensa em 15/07/2026 necessário aprovação de projeto de travessia de rodovia (AGESUL) - cadastrada através do ID 891._x000a_Obra 0302600248 - orçamento aprovado pelo cliente na data de 15/07/2026. cadastrada através do ID 818._x000a_Obra 0302500580 - cadastrada através do ID 898, ação já direcionada a área responsável para as devidas tratativas."/>
    <d v="2026-08-19T00:00:00"/>
    <m/>
    <m/>
    <m/>
    <d v="2026-08-19T00:00:00"/>
    <s v="Monike Chaves"/>
    <s v="Bruna Santos"/>
    <s v="Prefeito Edinho_x000a_Diretora de Planejamento e Obras Natyla_x000a_Secretario de obras Renato _x000a_Diego Coodenador Energisa_x000a_Monike Agente"/>
    <s v="Diego Souza Silva"/>
    <s v="Sim"/>
    <s v="Visita Domo de Ferro"/>
    <d v="2026-09-03T00:00:00"/>
    <s v="Moacir Costa Neto"/>
    <d v="2026-08-19T00:00:00"/>
    <s v="Bruna Fabiana Braguin dos Santos"/>
    <n v="100"/>
    <n v="100"/>
    <n v="100"/>
    <s v=""/>
    <m/>
    <s v=""/>
    <s v="NOVA ANDRADINA"/>
    <n v="61"/>
    <s v="&gt;50 dias"/>
    <s v="Dentro"/>
    <s v="Não risco"/>
    <e v="#VALUE!"/>
    <n v="27"/>
  </r>
  <r>
    <s v="898"/>
    <s v="Visita Domo de Ferro"/>
    <x v="0"/>
    <s v="DCMD"/>
    <d v="2026-07-22T00:00:00"/>
    <s v="Monike Chaves"/>
    <s v="Finalizada"/>
    <x v="1"/>
    <s v=""/>
    <s v=""/>
    <s v="0302500580"/>
    <s v="SUL"/>
    <s v="Angélica"/>
    <s v="Prefeitura"/>
    <s v="Angélica"/>
    <s v="ATA DE REUNIÃO_x000a__x000a_Data: 23/07 2026_x000a_Local: Prefeitura Municipal de Angélica – MS_x000a_Participantes: Representantes da Prefeitura Municipal de Angélica, Energisa MS, Secretários Municipais._x000a__x000a_Pauta_x000a__x000a_* Fortalecimento da parceria entre Prefeitura e Energisa._x000a_* Manejo da arborização urbana e convênio de poda._x000a_* Programação de desligamentos e intervenções na rede elétrica._x000a_* Demandas relacionadas à qualidade do fornecimento de energia._x000a_* Sobrecarga da rede elétrica e aumento de carga._x000a_* Acompanhamento de solicitações técnicas em unidades públicas._x000a__x000a_Desenvolvimento da reunião_x000a__x000a_A reunião teve como objetivo alinhar o relacionamento entre a Prefeitura de Angélica e a Energisa, fortalecendo a comunicação entre as equipes técnicas e operacionais para agilizar o atendimento das demandas do município._x000a__x000a_Inicialmente, foi apresentada a estrutura operacional da Energisa responsável pela região sul do Estado, destacando o atendimento realizado pelas equipes locais, pelo supervisor regional e pelo técnico responsável pela área, bem como os canais de atendimento disponíveis para o município._x000a__x000a_O prefeito ressaltou que um dos principais desafios enfrentados atualmente é a arborização urbana. Foi informado que diversas árvores foram plantadas em gestões anteriores sem planejamento adequado, estando hoje em conflito com a rede elétrica, o que ocasiona interrupções no fornecimento de energia, riscos operacionais e aumento dos custos de manutenção._x000a__x000a_Também foi relatada a dificuldade em programar desligamentos da rede para execução das podas, reforçando a necessidade de maior integração entre Prefeitura e Energisa para planejamento conjunto das intervenções._x000a__x000a_A Energisa esclareceu que, atualmente, os desligamentos programados são bastante restritos em razão das exigências regulatórias da ANEEL, motivo pelo qual a concessionária prioriza, sempre que possível, a utilização de equipes de Linha Viva para realização dos serviços com a rede energizada._x000a__x000a_Como alternativa, foi sugerido que a Prefeitura encaminhe, com antecedência, sua programação semanal ou pontual de podas por meio de ofício direcionado ao canal de atendimento do Poder Público. Dessa forma, a concessionária poderá avaliar cada situação e compatibilizar o cronograma das equipes._x000a__x000a_Durante a reunião foi destacado que o município possui interesse em manter uma parceria permanente com a Energisa para que as equipes possam atuar de forma coordenada, evitando riscos, reduzindo impactos à população e garantindo maior eficiência nas ações._x000a__x000a_Na sequência, foi discutido o Convênio de Poda encaminhado anteriormente pela Energisa ao município. Ficou registrado que o documento foi enviado à Secretaria Municipal de Meio Ambiente e será verificada sua tramitação para assinatura._x000a__x000a_Foi reforçado que o convênio prevê:_x000a__x000a_* atuação da Energisa nas podas emergenciais e nas intervenções em vegetação que oferece risco à rede elétrica;_x000a_* apoio da Prefeitura na retirada e destinação dos resíduos vegetais;_x000a_* maior agilidade nas autorizações necessárias;_x000a_* segurança jurídica para execução dos serviços;_x000a_* possibilidade de atendimento de árvores em situação crítica mediante solicitação formal do município._x000a__x000a_O prefeito destacou que o convênio auxiliará o município perante os órgãos de fiscalização e controle, além de facilitar o planejamento das futuras intervenções._x000a__x000a_Também foi apresentada pela Energisa a possibilidade de utilização do viveiro de mudas da concessionária para doação de espécies adequadas ao plantio urbano, incentivando a substituição gradual das árvores incompatíveis com a rede elétrica por espécies apropriadas._x000a__x000a_Na sequência, foram discutidas ocorrências relacionadas ao fornecimento de energia elétrica._x000a__x000a_Foi citado como exemplo positivo um problema recorrente em determinado setor da cidade que foi solucionado após a retirada de uma árvore em conflito com a rede elétrica, eliminando as interrupções registradas anteriormente._x000a__x000a_O prefeito também relatou ocorrências de oscilações de tensão em alguns bairros e destacou a necessidade de análise técnica sempre que identificadas situações semelhantes._x000a__x000a_A Energisa explicou que diversos casos decorrem do aumento de carga das unidades consumidoras, quando os clientes ampliam suas instalações elétricas sem comunicar previamente a distribuidora. Nesses casos, é necessária a solicitação formal para análise e eventual redimensionamento da carga._x000a__x000a_Outro tema abordado foi o crescimento da geração distribuída por meio de sistemas fotovoltaicos._x000a__x000a_A Energisa explicou que o aumento expressivo das instalações de energia solar tem provocado novos desafios operacionais em todo o Estado, exigindo elevados investimentos em ampliação e modernização do sistema elétrico. Informou ainda que o plano de investimentos da concessionária contempla aproximadamente R$ 1 bilhão em obras para reforço da rede elétrica._x000a__x000a_Em relação às unidades públicas, foi discutida a situação da Escola Municipal Napoleão._x000a__x000a_A Prefeitura informou que a unidade apresenta dificuldades para utilização dos aparelhos de ar-condicionado, principalmente após a instalação de um empreendimento comercial nas proximidades._x000a__x000a_Foi esclarecido que a escola possui três unidades consumidoras (três medidores), distribuídas entre os blocos da edificação, e que já havia sido encaminhada solicitação anterior para análise do transformador._x000a__x000a_A Energisa informou que realizará:_x000a__x000a_* verificação da carga cadastrada da unidade;_x000a_* análise dos ofícios anteriormente protocolados;_x000a_* aferição dos níveis de tensão;_x000a_* avaliação da necessidade de medições em campo;_x000a_* estudo sobre eventual redimensionamento da instalação._x000a__x000a_Também foi solicitado que sejam encaminhados novamente os números dos protocolos anteriores e fotografias dos medidores para facilitar a análise._x000a__x000a_Durante a reunião surgiu ainda a possibilidade de ampliar a avaliação para todo o complexo escolar, incluindo a creche localizada na mesma quadra, totalizando quatro unidades consumidoras._x000a__x000a_Ao final, os participantes reforçaram a importância da manutenção da comunicação direta entre Prefeitura e Energisa para solução rápida das demandas técnicas, planejamento das podas, melhorias na qualidade do fornecimento de energia e fortalecimento da parceria institucional._x000a__x000a_Encaminhamentos_x000a__x000a_1. Verificar internamente a situação do Convênio de Poda encaminhado pela Energisa e providenciar sua formalização._x000a_2. A Prefeitura encaminhará programação de podas por meio de ofício ao canal do Poder Público da Energisa._x000a_3. A Energisa realizará análise técnica da Escola Municipal Napoleão, incluindo medição de tensão e avaliação da carga instalada._x000a_4. A Prefeitura enviará novamente os protocolos anteriores e fotografias dos medidores da unidade escolar._x000a_5. Avaliar tecnicamente todo o complexo escolar, incluindo a creche localizada na mesma quadra._x000a_6. Manter comunicação direta entre as equipes técnicas para programação de intervenções na rede elétrica e manejo da arborização urbana._x000a_7. Fortalecer a parceria para substituição gradual de espécies arbóreas inadequadas por espécies compatíveis com a rede elétrica._x000a_E por ultimo ateção na obra 0302600271 - 0302600248, mudança de postes para atender demanda com urgencia 0, recurso parado. 0302500580 e poste com risco de barida pois está no meio da rua."/>
    <d v="2026-07-23T00:00:00"/>
    <s v="Por favor verificar possibilidade de agilizar atendimento da Obra 0302500580 - Deslocamento de Poste."/>
    <d v="2026-09-04T00:00:00"/>
    <s v="&quot;No dia 31/08, não foi possível realizar a execução, pois não conseguimos contato com o COI. O local estava sem sinal de rádio e de celular, impossibilitando a comunicação necessária para continuidade da atividade._x000a_A obra foi reprogramada para o dia 29/09.&quot; respondido no ID 938"/>
    <d v="2026-11-30T00:00:00"/>
    <m/>
    <m/>
    <s v="Amanda Aparecida Teixeira dos Santos"/>
    <s v="Amanda Santos"/>
    <s v="Prefeito Edinho_x000a_Diretora de Planejamento e Obras Natyla_x000a_Secretario de obras Renato _x000a_Diego Coodenador Energisa_x000a_Monike Agente"/>
    <s v="Diego Souza Silva"/>
    <s v="Sim"/>
    <s v="Visita Domo de Ferro"/>
    <d v="2026-09-04T00:00:00"/>
    <s v="Amanda Aparecida Teixeira dos Santos"/>
    <d v="2026-09-04T00:00:00"/>
    <s v="Amanda Aparecida Teixeira dos Santos"/>
    <n v="100"/>
    <n v="100"/>
    <n v="100"/>
    <s v=""/>
    <m/>
    <s v=""/>
    <s v="NOVA ANDRADINA"/>
    <n v="61"/>
    <s v="&gt;50 dias"/>
    <s v="Dentro"/>
    <s v="Risco"/>
    <e v="#VALUE!"/>
    <n v="43"/>
  </r>
  <r>
    <s v="906"/>
    <s v="Visita Domo de Ferro"/>
    <x v="0"/>
    <s v="DCMD"/>
    <d v="2026-07-24T00:00:00"/>
    <s v="Monike Chaves"/>
    <s v="Finalizada"/>
    <x v="1"/>
    <s v=""/>
    <s v=""/>
    <s v="0202601007"/>
    <s v="SUL"/>
    <s v="Fátima do Sul"/>
    <s v="Mídia"/>
    <s v="Fátima do Sul"/>
    <s v="Solicito por favor inserir este caso para acompanhamento na central, esse cliente teve sua jornada de ligação nova iniciada em 28/04, porém teve sua ordem de serviço transitando entre a baixa de campo e a baixa de projeto sem avanço das etapas necessárias para início da obra, apenas em 10/06 (43 dias após o pedido) seu processo seguiu o trâmite correto, sendo gerado obra para atendimento. _x000a__x000a_Gentileza verificar a possibilidade de executarmos em caráter emergencial._x000a__x000a_CLIENTE ATENDIDO MEDIDOR INSTALADO N6283376261"/>
    <d v="2026-07-27T00:00:00"/>
    <s v="0202601007"/>
    <d v="2026-08-21T00:00:00"/>
    <m/>
    <d v="2026-08-31T00:00:00"/>
    <d v="2026-08-05T00:00:00"/>
    <d v="2026-08-10T00:00:00"/>
    <s v="Amanda Aparecida Teixeira dos Santos"/>
    <s v="Rafaela Almeida"/>
    <s v="Diego Souza Silva"/>
    <s v="Diego Souza Silva"/>
    <s v="Sim"/>
    <s v="Visita Domo de Ferro"/>
    <d v="2026-09-03T00:00:00"/>
    <s v="Moacir Costa Neto"/>
    <d v="2026-08-21T00:00:00"/>
    <s v="Rafaela Mattos de Almeida"/>
    <n v="50"/>
    <n v="50"/>
    <n v="50"/>
    <s v=""/>
    <m/>
    <s v=""/>
    <s v="RIO BRILHANTE"/>
    <n v="59"/>
    <s v="&gt;50 dias"/>
    <s v="Dentro"/>
    <s v="Não risco"/>
    <e v="#VALUE!"/>
    <n v="25"/>
  </r>
  <r>
    <s v="933"/>
    <s v="Visita Domo de Ferro"/>
    <x v="4"/>
    <s v="DESC"/>
    <d v="2026-07-31T00:00:00"/>
    <s v="Giovani Moura Sousa"/>
    <s v="Finalizada"/>
    <x v="2"/>
    <s v="Assentamento Laga Grande"/>
    <s v=""/>
    <s v=""/>
    <s v="SUL"/>
    <s v="Dourados"/>
    <s v="Câmara"/>
    <s v="Dourados"/>
    <s v="Solicitado a troca do transformador de 25 kv para um de 45 kv._x000a_Transformador localizado às proximidades das UC's abaixo:_x000a_10/912450-4_x000a_10/904447-0_x000a_1.223.596.051-09"/>
    <d v="2026-08-12T00:00:00"/>
    <s v="Por gentileza elaborar resposta e direcionar à Câmara Municipal de Dourados - Ofício 019/2026, pois a solicitação precisa ser protocolada individualmente pelos interessados."/>
    <m/>
    <m/>
    <m/>
    <m/>
    <m/>
    <s v="CRISLAINE ARRUDA DA SILVA"/>
    <s v=""/>
    <s v="Vereador Rogério"/>
    <s v="Giovani Moura Sousa"/>
    <s v="Sim"/>
    <s v="Visita Domo de Ferro"/>
    <d v="2026-09-03T00:00:00"/>
    <s v="Moacir Costa Neto"/>
    <d v="2026-08-12T00:00:00"/>
    <s v="Wander Idalino Machado"/>
    <n v="25"/>
    <n v="25"/>
    <n v="12.5"/>
    <s v=""/>
    <m/>
    <s v=""/>
    <s v="DOURADOS"/>
    <n v="52"/>
    <s v="&gt;50 dias"/>
    <s v="Dentro"/>
    <s v="Não risco"/>
    <e v="#VALUE!"/>
    <n v="40"/>
  </r>
  <r>
    <s v="933"/>
    <s v="Visita Domo de Ferro"/>
    <x v="0"/>
    <s v="DCMD"/>
    <d v="2026-07-31T00:00:00"/>
    <s v="Giovani Moura Sousa"/>
    <s v="Finalizada"/>
    <x v="1"/>
    <s v=""/>
    <s v=""/>
    <s v=""/>
    <s v="SUL"/>
    <s v="Dourados"/>
    <s v="Câmara"/>
    <s v="Dourados"/>
    <s v="Solicitado a troca do transformador de 25 kv para um de 45 kv._x000a_Transformador localizado às proximidades das UC's abaixo:_x000a_10/912450-4_x000a_10/904447-0_x000a_1.223.596.051-09"/>
    <d v="2026-08-03T00:00:00"/>
    <s v="Solicitado a troca do transformador de 25 kv para um de 45 kv._x000a_Transformador localizado às proximidades das UC's abaixo:_x000a_10/912450-4_x000a_10/904447-0_x000a_1.223.596.051-09"/>
    <d v="2026-08-21T00:00:00"/>
    <m/>
    <d v="2026-08-31T00:00:00"/>
    <m/>
    <d v="2026-08-05T00:00:00"/>
    <s v="Bruno Camargo de Souza"/>
    <s v="Rafaela Almeida"/>
    <s v="Vereador Rogério"/>
    <s v="Giovani Moura Sousa"/>
    <s v="Sim"/>
    <s v="Visita Domo de Ferro"/>
    <d v="2026-09-03T00:00:00"/>
    <s v="Moacir Costa Neto"/>
    <d v="2026-08-21T00:00:00"/>
    <s v="Rafaela Mattos de Almeida"/>
    <n v="25"/>
    <n v="25"/>
    <n v="25"/>
    <s v=""/>
    <m/>
    <s v=""/>
    <s v="DOURADOS"/>
    <n v="52"/>
    <s v="&gt;50 dias"/>
    <s v="Dentro"/>
    <s v="Não risco"/>
    <e v="#VALUE!"/>
    <n v="18"/>
  </r>
  <r>
    <s v="938"/>
    <s v="Visita Domo de Ferro"/>
    <x v="0"/>
    <s v="DCMD"/>
    <d v="2026-07-24T00:00:00"/>
    <s v="Monike Chaves"/>
    <s v="Em Andamento"/>
    <x v="0"/>
    <s v=""/>
    <s v=""/>
    <s v="0302500580"/>
    <s v="SUL"/>
    <s v="Angélica"/>
    <s v="Prefeitura"/>
    <s v="Angélica"/>
    <s v="Prefeitura solicitou agilidade na realocação de 2 postes em Ipezal. Visita realizada pelo Projeto Integrar - Registro ID 123"/>
    <d v="2026-07-30T00:00:00"/>
    <s v="Prefeitura solicitou agilidade na realocação de 2 postes em Ipezal. Visita realizada pelo Projeto Integrar - Registro ID 123"/>
    <d v="2026-09-04T00:00:00"/>
    <s v="No dia 31/08, não foi possível realizar a execução, pois não conseguimos contato com o COI. O local estava sem sinal de rádio e de celular, impossibilitando a comunicação necessária para continuidade da atividade._x000a_A obra foi reprogramada para o dia 29/09."/>
    <d v="2026-09-30T00:00:00"/>
    <d v="2026-09-29T00:00:00"/>
    <m/>
    <s v="Amanda Aparecida Teixeira dos Santos"/>
    <s v="Amanda Santos"/>
    <m/>
    <s v="Diego Souza Silva"/>
    <s v="Sim"/>
    <s v="Visita Domo de Ferro"/>
    <d v="2026-09-04T00:00:00"/>
    <s v="Amanda Aparecida Teixeira dos Santos"/>
    <d v="2026-09-04T00:00:00"/>
    <s v="Amanda Aparecida Teixeira dos Santos"/>
    <n v="100"/>
    <n v="100"/>
    <n v="100"/>
    <s v=""/>
    <m/>
    <s v=""/>
    <s v="NOVA ANDRADINA"/>
    <n v="59"/>
    <s v="&gt;50 dias"/>
    <s v="Dentro"/>
    <s v="Risco"/>
    <s v="Sim"/>
    <n v="36"/>
  </r>
  <r>
    <s v="942"/>
    <s v="Visita Domo de Ferro"/>
    <x v="5"/>
    <s v="DCMD"/>
    <d v="2026-04-24T00:00:00"/>
    <s v="Availdo Taveira de Oliveira"/>
    <s v="Em Andamento"/>
    <x v="2"/>
    <s v=""/>
    <s v=""/>
    <s v=""/>
    <s v="CENTRO"/>
    <s v="Corguinho"/>
    <s v="Prefeitura"/>
    <s v="Corguinho"/>
    <s v="Visita realizada pelo Projeto Integrar - Registro ID 74"/>
    <d v="2026-07-31T00:00:00"/>
    <s v="Podar Árvore em frente a Dona Cândida na comunidade baianopolis, Visita realizada pelo Projeto Integrar - Registro ID 74"/>
    <d v="2026-08-19T00:00:00"/>
    <m/>
    <m/>
    <m/>
    <m/>
    <s v="Evair Rogerio da Conceicao"/>
    <s v="Bruna Santos"/>
    <s v="Fabricio Silva"/>
    <s v="Fabricio Cerchiari da Silva"/>
    <s v="Sim"/>
    <s v="Visita Domo de Ferro"/>
    <d v="2026-09-03T00:00:00"/>
    <s v="Moacir Costa Neto"/>
    <d v="2026-08-19T00:00:00"/>
    <s v="Bruna Fabiana Braguin dos Santos"/>
    <n v="100"/>
    <n v="100"/>
    <n v="100"/>
    <s v=""/>
    <m/>
    <s v=""/>
    <s v="CAMPO GRANDE INTERIOR"/>
    <n v="150"/>
    <s v="&gt;50 dias"/>
    <s v="Dentro"/>
    <s v="Não risco"/>
    <s v="Sim"/>
    <n v="19"/>
  </r>
  <r>
    <s v="943"/>
    <s v="Visita Domo de Ferro"/>
    <x v="1"/>
    <s v="DESC"/>
    <d v="2026-04-05T00:00:00"/>
    <s v="Monike Chaves"/>
    <s v="Finalizada"/>
    <x v="1"/>
    <s v=""/>
    <s v=""/>
    <s v=""/>
    <s v="SUL"/>
    <s v="Batayporã"/>
    <s v="Prefeitura"/>
    <s v="Batayporã"/>
    <s v="Visita realizada pelo Projeto Integrar - Registro ID 44_x000a_1- Prefeito citou que a cidade está com obras de loteamentos particulares, ainda em fase de canteiro. Acompanhar essas solicitações pela central do cliente, coletando expectativa futura de prazo com a Prefeitura._x000a_2- Sobre a carreta &quot;Nossa Energia&quot; da Eficiência Energética. Prefeito demonstrou interesse, solicitei para que ela sugerisse uma data para a realização de uma ação na cidade. (26, 27 e 28 de Junho é a Festa do Sereno, maior evento da cidade)._x000a_3- Sobre a poda na cidade e o possível apoio na recolha de galhos, o Prefeito citou que Julho é o melhor mês. Pedu para evitar podar em Junho em razão da festa do sereno, e que as equipes da Prefeitura estarão todas ocupadas._x000a_4- Citaram alguns problemas de interrupção na UC da MS Pantanal (Tratamento de água e esgoto). Talvez seja sobrecarga e necessidade de revisão da declaração. A unidade fica próxima do cemitério. Realizar diagnóstico."/>
    <d v="2026-08-03T00:00:00"/>
    <s v="FAVOR REALIZAR AS ANALISES DAS DEMANDAS DO PROJETO INTEGRAR OS QUATROS PONTOS E NOS RESPALDAR AS ATUALIZAÇÕES ."/>
    <d v="2026-08-13T00:00:00"/>
    <s v="GESTORA MONIKE REALIZOU TODAS AS TRATATIVAS"/>
    <d v="2026-08-14T00:00:00"/>
    <m/>
    <d v="2026-08-13T00:00:00"/>
    <s v="Monike Chaves"/>
    <s v="Bruna Santos"/>
    <s v="GERMINO ROZ - PREFEITO_x000a_DIAN_x000a_DIEGO SOUZA"/>
    <s v="Diego Souza Silva"/>
    <s v="Sim"/>
    <s v="Visita Domo de Ferro"/>
    <d v="2026-09-03T00:00:00"/>
    <s v="Moacir Costa Neto"/>
    <d v="2026-08-13T00:00:00"/>
    <s v="Bruna Fabiana Braguin dos Santos"/>
    <n v="100"/>
    <n v="100"/>
    <n v="75"/>
    <s v=""/>
    <m/>
    <s v=""/>
    <s v="NOVA ANDRADINA"/>
    <n v="169"/>
    <s v="&gt;50 dias"/>
    <s v="Dentro"/>
    <s v="Não risco"/>
    <s v="Sim"/>
    <n v="10"/>
  </r>
  <r>
    <s v="944"/>
    <s v="Visita Domo de Ferro"/>
    <x v="1"/>
    <s v="DESC"/>
    <d v="2026-04-28T00:00:00"/>
    <s v="Availdo Taveira de Oliveira"/>
    <s v="Finalizada"/>
    <x v="1"/>
    <s v=""/>
    <s v=""/>
    <s v=""/>
    <s v="NORTE"/>
    <s v="Corumbá"/>
    <s v="Prefeitura"/>
    <s v="Corumbá"/>
    <s v="Visita realizada pelo Projeto Integrar - Registro ID 52_x000a__x000a_1- Execução de 4 obras em atraso a pedido da prefeitura de Ladario._x000a_2- Apoio na poda de 5 Sete Copas na cidade de Ládario._x000a_3- Solicitação de totem para atendimento na prefeitura de Ládario."/>
    <d v="2026-08-03T00:00:00"/>
    <s v="FAVOR ANALISAR AS DEMANDAS DO PROJETO INTEGRAR E NOS DAR RESPALDOS E ATUALIZAÇÕES E ENCAMINHAR SE NECESSARIO COM AÇÕES PARA OS DEPARTAMENTOS RESPONSAVEIS."/>
    <d v="2026-09-08T00:00:00"/>
    <m/>
    <d v="2026-08-14T00:00:00"/>
    <m/>
    <d v="2026-08-28T00:00:00"/>
    <s v="Availdo Taveira de Oliveira"/>
    <s v="Aline Mesquita"/>
    <s v="HELDER BARBOSA"/>
    <s v="Helder Barbosa Diniz"/>
    <s v="Sim"/>
    <s v="Visita Domo de Ferro"/>
    <d v="2026-09-08T00:00:00"/>
    <s v="Aline da Silva Mesquita"/>
    <d v="2026-09-08T00:00:00"/>
    <s v="Aline da Silva Mesquita"/>
    <n v="100"/>
    <n v="100"/>
    <n v="100"/>
    <s v=""/>
    <m/>
    <s v=""/>
    <s v="CORUMBA"/>
    <n v="146"/>
    <s v="&gt;50 dias"/>
    <s v="Fora"/>
    <s v="Não risco"/>
    <s v="Sim"/>
    <n v="36"/>
  </r>
  <r>
    <s v="945"/>
    <s v="Visita Domo de Ferro"/>
    <x v="1"/>
    <s v="DESC"/>
    <d v="2026-04-29T00:00:00"/>
    <s v="Availdo Taveira de Oliveira"/>
    <s v="Finalizada"/>
    <x v="3"/>
    <s v=""/>
    <s v=""/>
    <s v=""/>
    <s v="NORTE"/>
    <s v="Dois Irmãos do Buriti"/>
    <s v="Prefeitura"/>
    <s v="Dois Irmãos do Buriti"/>
    <s v="Visita realizada pelo Projeto Integrar - Registro ID 50_x000a__x000a_1- Validar e responder ao prefeito como e em qual rede será conectada as GDs do Polo industrial._x000a_2- Industria no Polo Industrial que querem migrar da Coeso para EMS - Frigorifico, Peixe, mandioca e Laranja;"/>
    <d v="2026-08-03T00:00:00"/>
    <s v="FAVOR ANALISAR AS DEMANDAS DO PROJETO INTEGRAR E NOS DAR RESPALDOS E ATUALIZAÇÕES E ENCAMINHAR SE NECESSARIO COM AÇÕES PARA OS DEPARTAMENTOS RESPONSAVEIS."/>
    <d v="2026-08-03T00:00:00"/>
    <s v="Segue resumo em foto anexo. As demandas estão registradas no APP."/>
    <d v="2026-08-14T00:00:00"/>
    <m/>
    <d v="2026-08-03T00:00:00"/>
    <s v="Availdo Taveira de Oliveira"/>
    <s v="Anderson Smaniotto"/>
    <m/>
    <s v="Anderson Brum Smaniotto"/>
    <s v="Sim"/>
    <s v="Visita Domo de Ferro"/>
    <d v="2026-09-03T00:00:00"/>
    <s v="Moacir Costa Neto"/>
    <d v="2026-08-03T00:00:00"/>
    <s v="Anderson Brum Smaniotto"/>
    <n v="100"/>
    <n v="100"/>
    <n v="75"/>
    <s v=""/>
    <m/>
    <s v=""/>
    <s v="AQUIDAUANA"/>
    <n v="145"/>
    <s v="&gt;50 dias"/>
    <s v="Dentro"/>
    <s v="Não risco"/>
    <s v="Sim"/>
    <n v="0"/>
  </r>
  <r>
    <s v="945"/>
    <s v="Visita Domo de Ferro"/>
    <x v="4"/>
    <s v="DESC"/>
    <d v="2026-04-29T00:00:00"/>
    <s v="Availdo Taveira de Oliveira"/>
    <s v="Finalizada"/>
    <x v="1"/>
    <s v=""/>
    <s v=""/>
    <s v=""/>
    <s v="NORTE"/>
    <s v="Dois Irmãos do Buriti"/>
    <s v="Prefeitura"/>
    <s v="Dois Irmãos do Buriti"/>
    <s v="Visita realizada pelo Projeto Integrar - Registro ID 50_x000a__x000a_1- Validar e responder ao prefeito como e em qual rede será conectada as GDs do Polo industrial._x000a_2- Industria no Polo Industrial que querem migrar da Coeso para EMS - Frigorifico, Peixe, mandioca e Laranja;"/>
    <d v="2026-08-11T00:00:00"/>
    <s v="Ação gerada e direcionada ao DESC (Availdo) para as devidas tratativas. Por favor, disponibilizar as informações a seguir para que possamos gerar as ações e direcionar aos responsáveis para as devidas tratativas. Projeto Integrar - ID 50. _x000a_1. Validar e responder ao prefeito como e em qual rede será conectada as GDs do Polo Industrial, para direcionamento gentileza informar o nº da(s) unidade(s) conssumidora(s) ou o nº do(s) projeto(s) elétrico(s). _x000a_2. Indústria no Polo Industrial que querem migrar da Coeso para a EMS - (Frigorífico, Peixe, Mandioca e Laranja), para os devidos direcionamentos informar o nº da(s) unidade(s) consumidora(s)."/>
    <d v="2026-08-13T00:00:00"/>
    <s v="SEM INFORMAÇÕES SUFICIENTES PARA ANALISE"/>
    <m/>
    <m/>
    <d v="2026-08-13T00:00:00"/>
    <s v="Availdo Taveira de Oliveira"/>
    <s v="Bruna Santos"/>
    <m/>
    <s v="Anderson Brum Smaniotto"/>
    <s v="Sim"/>
    <s v="Visita Domo de Ferro"/>
    <d v="2026-09-03T00:00:00"/>
    <s v="Moacir Costa Neto"/>
    <d v="2026-08-13T00:00:00"/>
    <s v="Bruna Fabiana Braguin dos Santos"/>
    <n v="100"/>
    <n v="100"/>
    <n v="75"/>
    <s v=""/>
    <m/>
    <s v=""/>
    <s v="AQUIDAUANA"/>
    <n v="145"/>
    <s v="&gt;50 dias"/>
    <s v="Dentro"/>
    <s v="Não risco"/>
    <s v="Sim"/>
    <n v="2"/>
  </r>
  <r>
    <s v="946"/>
    <s v="Visita Domo de Ferro"/>
    <x v="1"/>
    <s v="DESC"/>
    <d v="2026-06-09T00:00:00"/>
    <s v="Availdo Taveira de Oliveira"/>
    <s v="Finalizada"/>
    <x v="1"/>
    <s v=""/>
    <s v=""/>
    <s v=""/>
    <s v="CENTRO"/>
    <s v="Paranaíba"/>
    <s v="Prefeitura"/>
    <s v="Paranaíba"/>
    <s v="Visita realizada pelo Projeto Integrar - Registro ID 87_x000a_1- Questionou que quando de uma obra estão trocando os postes e levando os braços da luminária._x000a__x000a_2- Solicitou para ver a possibilidade de ligar os padrões que foram desmembrados das lojas anexa ao terminal rodoviário, foi orientado a solicitar uma OS de padronização."/>
    <d v="2026-08-03T00:00:00"/>
    <s v="FAVOR ANALISAR AS DEMANDAS DO PROJETO INTEGRAR E NOS DAR RESPALDOS E ATUALIZAÇÕES E ENCAMINHAR SE NECESSARIO COM AÇÕES PARA OS DEPARTAMENTOS RESPONSAVEIS."/>
    <d v="2026-08-19T00:00:00"/>
    <m/>
    <d v="2026-08-14T00:00:00"/>
    <m/>
    <d v="2026-08-19T00:00:00"/>
    <s v="Availdo Taveira de Oliveira"/>
    <s v="Bruna Santos"/>
    <m/>
    <s v=""/>
    <s v="Sim"/>
    <s v="Visita Domo de Ferro"/>
    <d v="2026-09-03T00:00:00"/>
    <s v="Moacir Costa Neto"/>
    <d v="2026-08-19T00:00:00"/>
    <s v="Bruna Fabiana Braguin dos Santos"/>
    <n v="100"/>
    <n v="100"/>
    <n v="100"/>
    <s v=""/>
    <m/>
    <s v=""/>
    <s v="PARANAIBA"/>
    <n v="104"/>
    <s v="&gt;50 dias"/>
    <s v="Fora"/>
    <s v="Não risco"/>
    <s v="Sim"/>
    <n v="16"/>
  </r>
  <r>
    <s v="947"/>
    <s v="Visita Domo de Ferro"/>
    <x v="1"/>
    <s v="DESC"/>
    <d v="2026-04-14T00:00:00"/>
    <s v="Monike Chaves"/>
    <s v="Finalizada"/>
    <x v="1"/>
    <s v=""/>
    <s v=""/>
    <s v=""/>
    <s v=""/>
    <s v="Dourados"/>
    <s v="Prefeitura"/>
    <s v=""/>
    <s v="Visita realizada pelo Projeto Integrar - Registro ID 45_x000a__x000a_1- Prefeito citou que estão com projetos em andamento de loteamentos sociais pela cidade, e que provavelmente irá solicitar uma carta de viabilidade em breve. Um com 72 lotes e outro com 20 lotes. Inserir para acompanhamento na central do cliente._x000a_2- Prefeito citou região da AGROFAP, que o local estava com faltas de energia constantes, porém já foi resolvido após a retirada de um trecho de bambus pela Energisa. Informou sobre o Ass. Bela Manhã, que está com faltas constantes de energia. Inspecionar._x000a_3- &quot;Realocação de rede na entrada da cidade para a construção de um portal na entrada da cidade. Ação interna: Inserir essa obra na Central do Cliente._x000a_0302600023 - Liberada em 27/02/2026&quot;"/>
    <d v="2026-08-03T00:00:00"/>
    <s v="FAVOR ANALISAR AS DEMANDAS DO PROJETO INTEGRAR E NOS DAR RESPALDOS E ATUALIZAÇÕES E ENCAMINHAR SE NECESSARIO COM AÇÕES PARA OS DEPARTAMENTOS RESPONSAVEIS."/>
    <d v="2026-08-13T00:00:00"/>
    <s v="EM CONTATO COM A GESTORA MONIKE TODAS AS DEMANDAS FORAM TRATADAS"/>
    <d v="2026-08-14T00:00:00"/>
    <m/>
    <d v="2026-08-13T00:00:00"/>
    <s v="Availdo Taveira de Oliveira"/>
    <s v="Bruna Santos"/>
    <m/>
    <s v="Diego Souza Silva"/>
    <s v="Sim"/>
    <s v="Visita Domo de Ferro"/>
    <d v="2026-09-03T00:00:00"/>
    <s v="Moacir Costa Neto"/>
    <d v="2026-08-13T00:00:00"/>
    <s v="Bruna Fabiana Braguin dos Santos"/>
    <n v="100"/>
    <n v="100"/>
    <n v="75"/>
    <s v=""/>
    <m/>
    <s v=""/>
    <s v="DOURADOS"/>
    <n v="160"/>
    <s v="&gt;50 dias"/>
    <s v="Dentro"/>
    <s v="Não risco"/>
    <s v="Sim"/>
    <n v="10"/>
  </r>
  <r>
    <s v="948"/>
    <s v="Visita Domo de Ferro"/>
    <x v="1"/>
    <s v="DESC"/>
    <d v="2026-04-24T00:00:00"/>
    <s v="Availdo Taveira de Oliveira"/>
    <s v="Finalizada"/>
    <x v="1"/>
    <s v=""/>
    <s v=""/>
    <s v=""/>
    <s v="CENTRO"/>
    <s v="Terenos"/>
    <s v="Prefeitura"/>
    <s v="Terenos"/>
    <s v="Visita realizada pelo Projeto Integrar - Registro ID 73_x000a_Individualizar a medição da praça de eventos ._x000a__x000a_Central do Cliente (12/08/2026): Projeto Integrar. Informação, não foram anexados documentos e/ou informado nº de unidade consumidora, OS ou demais dados do(s) cliente(s) para abertura de ações."/>
    <d v="2026-08-03T00:00:00"/>
    <s v="FAVOR ANALISAR AS DEMANDAS DO PROJETO INTEGRAR E NOS DAR RESPALDOS E ATUALIZAÇÕES E ENCAMINHAR SE NECESSARIO COM AÇÕES PARA OS DEPARTAMENTOS RESPONSAVEIS."/>
    <d v="2026-08-12T00:00:00"/>
    <s v="Projeto Integrar. Informação, não foram anexados documentos e/ou informado nº de unidade consumidora, OS ou demais dados do(s) cliente(s) para abertura de ações."/>
    <d v="2026-08-14T00:00:00"/>
    <m/>
    <d v="2026-08-12T00:00:00"/>
    <s v="Availdo Taveira de Oliveira"/>
    <s v="Wander Machado"/>
    <m/>
    <s v="Fabricio Cerchiari da Silva"/>
    <s v="Sim"/>
    <s v="Visita Domo de Ferro"/>
    <d v="2026-09-03T00:00:00"/>
    <s v="Moacir Costa Neto"/>
    <d v="2026-08-12T00:00:00"/>
    <s v="Wander Idalino Machado"/>
    <n v="100"/>
    <n v="100"/>
    <n v="75"/>
    <s v=""/>
    <m/>
    <s v=""/>
    <s v="CAMPO GRANDE INTERIOR"/>
    <n v="150"/>
    <s v="&gt;50 dias"/>
    <s v="Dentro"/>
    <s v="Não risco"/>
    <s v="Sim"/>
    <n v="9"/>
  </r>
  <r>
    <s v="960"/>
    <s v="Visita Domo de Ferro"/>
    <x v="4"/>
    <s v="Central do Cliente"/>
    <d v="2026-08-04T00:00:00"/>
    <s v="Giovani Moura Sousa"/>
    <s v="Finalizada"/>
    <x v="1"/>
    <s v=""/>
    <s v=""/>
    <s v=""/>
    <s v="CENTRO"/>
    <s v="Campo Grande"/>
    <s v="Câmara"/>
    <s v="Campo Grande"/>
    <s v="Solicitado manutenção do veto à emenda do Vereador Roilço sobre fios de internet._x000a_Informação."/>
    <d v="2026-08-05T00:00:00"/>
    <s v="Informação. Solicitado manutenção do veto à emenda do Vereador Roilço sobre fios de internet."/>
    <d v="2026-08-11T00:00:00"/>
    <m/>
    <d v="2026-08-05T00:00:00"/>
    <m/>
    <d v="2026-08-05T00:00:00"/>
    <s v="Wander Idalino Machado"/>
    <s v="Wander Machado"/>
    <s v="Vereador Rrafael Tavares"/>
    <s v="Giovani Moura Sousa"/>
    <s v="Sim"/>
    <s v="Visita Domo de Ferro"/>
    <d v="2026-09-03T00:00:00"/>
    <s v="Moacir Costa Neto"/>
    <d v="2026-08-11T00:00:00"/>
    <s v="Wander Idalino Machado"/>
    <n v="25"/>
    <n v="25"/>
    <n v="25"/>
    <s v=""/>
    <m/>
    <s v=""/>
    <s v="CAMPO GRANDE"/>
    <n v="48"/>
    <s v="&gt;50 dias"/>
    <s v="Dentro"/>
    <s v="Não risco"/>
    <e v="#VALUE!"/>
    <n v="6"/>
  </r>
  <r>
    <s v="961"/>
    <s v="Visita Domo de Ferro"/>
    <x v="4"/>
    <s v="Central do Cliente"/>
    <d v="2026-08-04T00:00:00"/>
    <s v="Giovani Moura Sousa"/>
    <s v="Finalizada"/>
    <x v="1"/>
    <s v=""/>
    <s v=""/>
    <s v=""/>
    <s v="CENTRO"/>
    <s v="Campo Grande"/>
    <s v="Câmara"/>
    <s v="Campo Grande"/>
    <s v="Solicitado a manutenção do veto à emenda do Vereador Ronilço quanto aos fios de internet._x000a_Informação."/>
    <d v="2026-08-05T00:00:00"/>
    <s v="Informação. Solicitado a manutenção do veto à emenda do Vereador Ronilço quanto aos fios de internet."/>
    <d v="2026-08-05T00:00:00"/>
    <s v="Solicitado a manutenção do veto à emenda do Vereador Ronilço quanto aos fios de internet."/>
    <m/>
    <m/>
    <d v="2026-08-05T00:00:00"/>
    <s v="Wander Idalino Machado"/>
    <s v="Wander Machado"/>
    <s v="Vereador André salineiro"/>
    <s v=""/>
    <s v="Sim"/>
    <s v="Visita Domo de Ferro"/>
    <d v="2026-09-03T00:00:00"/>
    <s v="Moacir Costa Neto"/>
    <d v="2026-08-05T00:00:00"/>
    <s v="Wander Idalino Machado"/>
    <n v="25"/>
    <n v="25"/>
    <n v="25"/>
    <s v=""/>
    <m/>
    <s v=""/>
    <s v="CAMPO GRANDE"/>
    <n v="48"/>
    <s v="&gt;50 dias"/>
    <s v="Dentro"/>
    <s v="Não risco"/>
    <e v="#VALUE!"/>
    <n v="0"/>
  </r>
  <r>
    <s v="962"/>
    <s v="Visita Domo de Ferro"/>
    <x v="4"/>
    <s v="Central do Cliente"/>
    <d v="2026-08-04T00:00:00"/>
    <s v="Giovani Moura Sousa"/>
    <s v="Finalizada"/>
    <x v="1"/>
    <s v=""/>
    <s v=""/>
    <s v=""/>
    <s v="CENTRO"/>
    <s v="Campo Grande"/>
    <s v="Câmara"/>
    <s v="Campo Grande"/>
    <s v="Slicitado a manutenção do veto contra a emenda do Vereador Ronilço quanto aos fios de internet._x000a_Informação."/>
    <d v="2026-08-05T00:00:00"/>
    <s v="Informação. Solicitado a manutenção do veto contra a emenda do Vereador Ronilço quanto aos fios de internet."/>
    <d v="2026-08-11T00:00:00"/>
    <m/>
    <d v="2026-08-05T00:00:00"/>
    <m/>
    <d v="2026-08-05T00:00:00"/>
    <s v="Wander Idalino Machado"/>
    <s v="Wander Machado"/>
    <s v="Vreador Juari"/>
    <s v="Giovani Moura Sousa"/>
    <s v="Sim"/>
    <s v="Visita Domo de Ferro"/>
    <d v="2026-09-03T00:00:00"/>
    <s v="Moacir Costa Neto"/>
    <d v="2026-08-11T00:00:00"/>
    <s v="Wander Idalino Machado"/>
    <n v="25"/>
    <n v="25"/>
    <n v="25"/>
    <s v=""/>
    <m/>
    <s v=""/>
    <s v="CAMPO GRANDE"/>
    <n v="48"/>
    <s v="&gt;50 dias"/>
    <s v="Dentro"/>
    <s v="Não risco"/>
    <e v="#VALUE!"/>
    <n v="6"/>
  </r>
  <r>
    <s v="962"/>
    <s v="Visita Domo de Ferro"/>
    <x v="4"/>
    <s v="Vazio"/>
    <d v="2026-08-04T00:00:00"/>
    <s v="Giovani Moura Sousa"/>
    <s v="Finalizada"/>
    <x v="1"/>
    <s v=""/>
    <s v=""/>
    <s v=""/>
    <s v="CENTRO"/>
    <s v="Campo Grande"/>
    <s v="Câmara"/>
    <s v="Campo Grande"/>
    <s v="Slicitado a manutenção do veto contra a emenda do Vereador Ronilço quanto aos fios de internet._x000a_Informação."/>
    <d v="2026-08-05T00:00:00"/>
    <s v="Informação. Solicitado a manutenção do veto contra a emenda do Vereador Ronilço quanto aos fios de internet."/>
    <d v="2026-08-11T00:00:00"/>
    <m/>
    <d v="2026-08-05T00:00:00"/>
    <m/>
    <d v="2026-08-05T00:00:00"/>
    <s v="Wander Idalino Machado"/>
    <s v="Wander Machado"/>
    <s v="Vreador Juari"/>
    <s v="Giovani Moura Sousa"/>
    <s v="Sim"/>
    <s v="Visita Domo de Ferro"/>
    <d v="2026-09-03T00:00:00"/>
    <s v="Moacir Costa Neto"/>
    <d v="2026-08-11T00:00:00"/>
    <s v="Wander Idalino Machado"/>
    <n v="25"/>
    <n v="25"/>
    <n v="25"/>
    <s v=""/>
    <m/>
    <s v=""/>
    <s v="CAMPO GRANDE"/>
    <n v="48"/>
    <s v="&gt;50 dias"/>
    <s v="Dentro"/>
    <s v="Não risco"/>
    <e v="#VALUE!"/>
    <n v="6"/>
  </r>
  <r>
    <s v="962"/>
    <s v="Visita Domo de Ferro"/>
    <x v="6"/>
    <s v="Vazio"/>
    <d v="2026-08-04T00:00:00"/>
    <s v="Giovani Moura Sousa"/>
    <s v="Finalizada"/>
    <x v="1"/>
    <s v=""/>
    <s v=""/>
    <s v=""/>
    <s v="CENTRO"/>
    <s v="Campo Grande"/>
    <s v="Câmara"/>
    <s v="Campo Grande"/>
    <s v="Slicitado a manutenção do veto contra a emenda do Vereador Ronilço quanto aos fios de internet._x000a_Informação."/>
    <d v="2026-08-05T00:00:00"/>
    <s v="Informação. Solicitado a manutenção do veto contra a emenda do Vereador Ronilço quanto aos fios de internet."/>
    <d v="2026-08-11T00:00:00"/>
    <s v="Informação. Solicitado a manutenção do veto contra a emenda do Vereador Ronilço quanto aos fios de internet."/>
    <m/>
    <m/>
    <m/>
    <s v="Wander Idalino Machado"/>
    <s v="Wander Machado"/>
    <s v="Vreador Juari"/>
    <s v="Giovani Moura Sousa"/>
    <s v="Sim"/>
    <s v="Visita Domo de Ferro"/>
    <d v="2026-09-03T00:00:00"/>
    <s v="Moacir Costa Neto"/>
    <d v="2026-08-11T00:00:00"/>
    <s v="Wander Idalino Machado"/>
    <n v="25"/>
    <n v="25"/>
    <n v="25"/>
    <s v=""/>
    <m/>
    <s v=""/>
    <s v="CAMPO GRANDE"/>
    <n v="48"/>
    <s v="&gt;50 dias"/>
    <s v="Dentro"/>
    <s v="Não risco"/>
    <e v="#VALUE!"/>
    <n v="6"/>
  </r>
  <r>
    <s v="963"/>
    <s v="Visita Domo de Ferro"/>
    <x v="4"/>
    <s v="Central do Cliente"/>
    <d v="2026-08-04T00:00:00"/>
    <s v="Giovani Moura Sousa"/>
    <s v="Finalizada"/>
    <x v="1"/>
    <s v=""/>
    <s v=""/>
    <s v=""/>
    <s v="CENTRO"/>
    <s v="Campo Grande"/>
    <s v="Câmara"/>
    <s v="Campo Grande"/>
    <s v="Solicitada a manutenção do veto contra emenda do Vereador Ronilço quanto aos fios de internet._x000a_Informação."/>
    <d v="2026-08-05T00:00:00"/>
    <s v="Informação. Solicitada a manutenção do veto contra emenda do Vereador Ronilço quanto aos fios de internet."/>
    <d v="2026-08-05T00:00:00"/>
    <m/>
    <m/>
    <m/>
    <d v="2026-08-05T00:00:00"/>
    <s v="Wander Idalino Machado"/>
    <s v="Wander Machado"/>
    <s v="Vereador Otávio Trad"/>
    <s v="Giovani Moura Sousa"/>
    <s v="Sim"/>
    <s v="Visita Domo de Ferro"/>
    <d v="2026-09-03T00:00:00"/>
    <s v="Moacir Costa Neto"/>
    <d v="2026-08-05T00:00:00"/>
    <s v="Wander Idalino Machado"/>
    <n v="25"/>
    <n v="25"/>
    <n v="25"/>
    <s v=""/>
    <m/>
    <s v=""/>
    <s v="CAMPO GRANDE"/>
    <n v="48"/>
    <s v="&gt;50 dias"/>
    <s v="Dentro"/>
    <s v="Não risco"/>
    <e v="#VALUE!"/>
    <n v="0"/>
  </r>
  <r>
    <s v="964"/>
    <s v="Visita Domo de Ferro"/>
    <x v="4"/>
    <s v="Central do Cliente"/>
    <d v="2026-08-04T00:00:00"/>
    <s v="Giovani Moura Sousa"/>
    <s v="Finalizada"/>
    <x v="1"/>
    <s v=""/>
    <s v=""/>
    <s v=""/>
    <s v="CENTRO"/>
    <s v="Campo Grande"/>
    <s v="Câmara"/>
    <s v="Campo Grande"/>
    <s v="Solicitado manutenção do vento contra a emenda do Vereador Ronilço quanto aos fios de internet._x000a_Informação."/>
    <d v="2026-08-05T00:00:00"/>
    <s v="Informação. Solicitado manutenção do vento contra a emenda do Vereador Ronilço quanto aos fios de internet"/>
    <d v="2026-08-31T00:00:00"/>
    <m/>
    <d v="2026-09-30T00:00:00"/>
    <m/>
    <d v="2026-08-05T00:00:00"/>
    <s v="Wander Idalino Machado"/>
    <s v="Rafaela Almeida"/>
    <s v="Vereador Wilson Lands"/>
    <s v="Giovani Moura Sousa"/>
    <s v="Sim"/>
    <s v="Visita Domo de Ferro"/>
    <d v="2026-09-03T00:00:00"/>
    <s v="Moacir Costa Neto"/>
    <d v="2026-08-31T00:00:00"/>
    <s v="Rafaela Mattos de Almeida"/>
    <n v="25"/>
    <n v="25"/>
    <n v="25"/>
    <s v=""/>
    <m/>
    <s v=""/>
    <s v="CAMPO GRANDE"/>
    <n v="48"/>
    <s v="&gt;50 dias"/>
    <s v="Dentro"/>
    <s v="Risco"/>
    <e v="#VALUE!"/>
    <n v="26"/>
  </r>
  <r>
    <s v="965"/>
    <s v="Visita Domo de Ferro"/>
    <x v="4"/>
    <s v="Central do Cliente"/>
    <d v="2026-08-04T00:00:00"/>
    <s v="Giovani Moura Sousa"/>
    <s v="Finalizada"/>
    <x v="1"/>
    <s v=""/>
    <s v=""/>
    <s v=""/>
    <s v="CENTRO"/>
    <s v="Campo Grande"/>
    <s v="Câmara"/>
    <s v="Campo Grande"/>
    <s v="Solicitada a manutenção do vet contra emenda do Vereador Ronilço quanto aos fios de internet._x000a_Informação."/>
    <d v="2026-08-05T00:00:00"/>
    <s v="Informação. Solicitada a manutenção do veto contra emenda do Vereador Ronilço quanto aos fios de internet."/>
    <d v="2026-08-05T00:00:00"/>
    <m/>
    <m/>
    <m/>
    <d v="2026-08-05T00:00:00"/>
    <s v="Wander Idalino Machado"/>
    <s v="Wander Machado"/>
    <s v="Vereador Papy"/>
    <s v="Giovani Moura Sousa"/>
    <s v="Sim"/>
    <s v="Visita Domo de Ferro"/>
    <d v="2026-09-03T00:00:00"/>
    <s v="Moacir Costa Neto"/>
    <d v="2026-08-05T00:00:00"/>
    <s v="Wander Idalino Machado"/>
    <n v="25"/>
    <n v="25"/>
    <n v="25"/>
    <s v=""/>
    <m/>
    <s v=""/>
    <s v="CAMPO GRANDE"/>
    <n v="48"/>
    <s v="&gt;50 dias"/>
    <s v="Dentro"/>
    <s v="Não risco"/>
    <e v="#VALUE!"/>
    <n v="0"/>
  </r>
  <r>
    <s v="980"/>
    <s v="Visita Domo de Ferro"/>
    <x v="0"/>
    <s v="DCMD"/>
    <d v="2026-08-07T00:00:00"/>
    <s v="Dian Cleiton de Brito"/>
    <s v="Em Andamento"/>
    <x v="0"/>
    <s v=""/>
    <s v=""/>
    <s v="0102601310"/>
    <s v="CENTRO"/>
    <s v="Sidrolândia"/>
    <s v="Assembleia Legislativa"/>
    <s v="Sidrolândia"/>
    <s v="Solicita agilizar execução do Ponto de entrega_x000a__x000a_Expec 21/08/26"/>
    <d v="2026-08-11T00:00:00"/>
    <s v="Solicita agilizar execução do Ponto de entrega_x000a_Expectativa do cliente 21/08/26"/>
    <d v="2026-09-15T00:00:00"/>
    <s v="Reprogramada para 27/09 - devido a contingência"/>
    <d v="2026-08-21T00:00:00"/>
    <d v="2026-09-27T00:00:00"/>
    <m/>
    <s v="Amanda Aparecida Teixeira dos Santos"/>
    <s v="Amanda Santos"/>
    <s v="Gerson Claro_x000a_Paulo Roberto _x000a_William Maksoud"/>
    <s v="Dian Cleiton de Brito"/>
    <s v="Sim"/>
    <s v="Visita Domo de Ferro"/>
    <d v="2026-09-15T00:00:00"/>
    <s v="Amanda Aparecida Teixeira dos Santos"/>
    <d v="2026-09-15T00:00:00"/>
    <s v="Amanda Aparecida Teixeira dos Santos"/>
    <n v="100"/>
    <n v="100"/>
    <n v="100"/>
    <s v=""/>
    <m/>
    <s v=""/>
    <s v="CAMPO GRANDE INTERIOR"/>
    <n v="45"/>
    <s v="&gt;50 dias"/>
    <s v="Fora"/>
    <s v="Não risco"/>
    <e v="#VALUE!"/>
    <n v="35"/>
  </r>
  <r>
    <s v="986"/>
    <s v="Visita Domo de Ferro"/>
    <x v="0"/>
    <s v="DCMD"/>
    <d v="2026-08-10T00:00:00"/>
    <s v="Dian Cleiton de Brito"/>
    <s v="Finalizada"/>
    <x v="1"/>
    <s v=""/>
    <s v=""/>
    <s v="0302600292"/>
    <s v="SUL"/>
    <s v="Bataguassu"/>
    <s v="Assembleia Legislativa"/>
    <s v="Bataguassu"/>
    <s v="Ligação nova do Poço no Assentamento Sta Paula._x000a__x000a_25/08/26."/>
    <d v="2026-08-11T00:00:00"/>
    <s v="Ligação nova do Poço no Assentamento Sta Paula._x000a_Expectativa do cliente: 25/08/26._x000a_Solicita agilização no atendimento da Obra 0302600292."/>
    <d v="2026-09-02T00:00:00"/>
    <s v="Obra 0302600292 concluída."/>
    <d v="2026-08-25T00:00:00"/>
    <d v="2026-09-10T00:00:00"/>
    <d v="2026-09-02T00:00:00"/>
    <s v="Amanda Aparecida Teixeira dos Santos"/>
    <s v="Wander Machado"/>
    <s v="DEPUTADO CARAVINA"/>
    <s v="Dian Cleiton de Brito"/>
    <s v="Sim"/>
    <s v="Visita Domo de Ferro"/>
    <d v="2026-09-03T00:00:00"/>
    <s v="Moacir Costa Neto"/>
    <d v="2026-09-02T00:00:00"/>
    <s v="Wander Idalino Machado"/>
    <n v="100"/>
    <n v="100"/>
    <n v="100"/>
    <s v=""/>
    <m/>
    <s v=""/>
    <s v="NOVA ANDRADINA"/>
    <n v="42"/>
    <s v="&gt;50 dias"/>
    <s v="Fora"/>
    <s v="Não risco"/>
    <e v="#VALUE!"/>
    <n v="22"/>
  </r>
  <r>
    <s v="986"/>
    <s v="Visita Domo de Ferro"/>
    <x v="7"/>
    <s v="DEOP"/>
    <d v="2026-08-10T00:00:00"/>
    <s v="Dian Cleiton de Brito"/>
    <s v="Finalizada"/>
    <x v="1"/>
    <s v=""/>
    <s v=""/>
    <s v=""/>
    <s v="SUL"/>
    <s v="Bataguassu"/>
    <s v="Assembleia Legislativa"/>
    <s v="Bataguassu"/>
    <s v="Ligação nova do Poço no Assentamento Sta Paula._x000a__x000a_25/08/26."/>
    <d v="2026-09-02T00:00:00"/>
    <s v="Por favor, agilizar atendimentos das ordens de serviço 561015595 (Vistoria) e 561015594 (Ligação Nova). Ligação nova do poço no assentamento Santa Paula."/>
    <d v="2026-09-11T00:00:00"/>
    <s v="Vistoria/Ligação executadas em 02/09/2026, dando origem a unidade consumidora 3893362."/>
    <m/>
    <m/>
    <d v="2026-09-11T00:00:00"/>
    <s v="Matheus Carneiro de Oliveira"/>
    <s v="Wander Machado"/>
    <s v="DEPUTADO CARAVINA"/>
    <s v="Dian Cleiton de Brito"/>
    <s v="Sim"/>
    <s v="Visita Domo de Ferro"/>
    <d v="2026-09-11T00:00:00"/>
    <s v="Wander Idalino Machado"/>
    <d v="2026-09-11T00:00:00"/>
    <s v="Wander Idalino Machado"/>
    <n v="100"/>
    <n v="100"/>
    <n v="100"/>
    <s v=""/>
    <m/>
    <s v=""/>
    <s v="NOVA ANDRADINA"/>
    <n v="42"/>
    <s v="&gt;50 dias"/>
    <s v="Dentro"/>
    <s v="Não risco"/>
    <e v="#VALUE!"/>
    <n v="9"/>
  </r>
  <r>
    <s v="1063"/>
    <s v="Visita Domo de Ferro"/>
    <x v="1"/>
    <s v="DESC"/>
    <d v="2026-08-24T00:00:00"/>
    <s v="Aline da Silva Mesquita"/>
    <s v="Finalizada"/>
    <x v="3"/>
    <s v=""/>
    <s v=""/>
    <s v="0702600108"/>
    <s v="NORTE"/>
    <s v="Coxim"/>
    <s v="Prefeitura"/>
    <s v="Coxim"/>
    <s v="Ventura obra do Centro de Convenções 070-26-00108_x000a_Porem segue algumas observações;_x000a_a Obra ainda não esta em execução mesmo ter saído sem custo, provavelmente o que esta pendente é o contrato de demanda com os grandes clientes._x000a_o posto de transformação também esta pendente a solicitação de comissionamento."/>
    <d v="2026-08-24T00:00:00"/>
    <s v="Verificar com o cliente a aprovação do orçamento, para liberação da programação da obra."/>
    <d v="2026-09-10T00:00:00"/>
    <m/>
    <m/>
    <d v="2026-08-27T00:00:00"/>
    <m/>
    <s v="Marcelly Arce Avalo Franca"/>
    <s v="Rafaela Almeida"/>
    <m/>
    <s v="Availdo Taveira de Oliveira"/>
    <s v="Não"/>
    <s v="Prefeitura"/>
    <d v="2026-09-10T00:00:00"/>
    <s v="Rafaela Mattos de Almeida"/>
    <d v="2026-09-10T00:00:00"/>
    <s v="Rafaela Mattos de Almeida"/>
    <n v="100"/>
    <n v="100"/>
    <n v="100"/>
    <s v=""/>
    <m/>
    <s v=""/>
    <s v="COXIM"/>
    <n v="28"/>
    <s v="30–50 dias"/>
    <s v="Dentro"/>
    <s v="Não risco"/>
    <e v="#VALUE!"/>
    <n v="17"/>
  </r>
  <r>
    <s v="1063"/>
    <s v="Visita Domo de Ferro"/>
    <x v="6"/>
    <s v="DESC"/>
    <d v="2026-08-24T00:00:00"/>
    <s v="Aline da Silva Mesquita"/>
    <s v="Finalizada"/>
    <x v="0"/>
    <s v=""/>
    <s v=""/>
    <s v="0702600108"/>
    <s v="NORTE"/>
    <s v="Coxim"/>
    <s v="Prefeitura"/>
    <s v="Coxim"/>
    <s v="Ventura obra do Centro de Convenções 070-26-00108_x000a_Porem segue algumas observações;_x000a_a Obra ainda não esta em execução mesmo ter saído sem custo, provavelmente o que esta pendente é o contrato de demanda com os grandes clientes._x000a_o posto de transformação também esta pendente a solicitação de comissionamento."/>
    <d v="2026-08-24T00:00:00"/>
    <s v="Verificar com o cliente a aprovação do orçamento, para liberação da programação da obra."/>
    <d v="2026-08-28T00:00:00"/>
    <s v="Em tratativa com o cliente o mesmo foi informado que é necessário enviar formulário preenchido. Aguardando o mesmo enviar o formulário."/>
    <m/>
    <d v="2026-08-27T00:00:00"/>
    <m/>
    <s v="Marcelly Arce Avalo Franca"/>
    <s v="Rafaela Almeida"/>
    <m/>
    <s v="Availdo Taveira de Oliveira"/>
    <s v="Não"/>
    <s v="Visita Domo de Ferro"/>
    <d v="2026-08-28T00:00:00"/>
    <s v="Rafaela Mattos de Almeida"/>
    <d v="2026-08-28T00:00:00"/>
    <s v="Rafaela Mattos de Almeida"/>
    <n v="100"/>
    <n v="100"/>
    <n v="100"/>
    <s v=""/>
    <m/>
    <s v=""/>
    <s v="COXIM"/>
    <n v="28"/>
    <s v="30–50 dias"/>
    <s v="Dentro"/>
    <s v="Não risco"/>
    <e v="#VALUE!"/>
    <n v="4"/>
  </r>
  <r>
    <s v="1068"/>
    <s v="Visita Domo de Ferro"/>
    <x v="0"/>
    <s v="DCMD"/>
    <d v="2026-08-21T00:00:00"/>
    <s v="Availdo Taveira de Oliveira"/>
    <s v="Finalizada"/>
    <x v="1"/>
    <s v=""/>
    <s v=""/>
    <s v="0702600176"/>
    <s v="NORTE"/>
    <s v="Coxim"/>
    <s v="Prefeitura"/>
    <s v="Coxim"/>
    <s v="Prefeito solicita agilidade na execução da obra de relocação da rede. Respondido no ID 1064 duplicado. Finalizando CARD atual."/>
    <d v="2026-08-25T00:00:00"/>
    <s v="Obra 0702600176 - Programação de obra (agilidade na execução)."/>
    <d v="2026-09-04T00:00:00"/>
    <s v="RESPONDIDO NO ID 1064"/>
    <d v="2026-09-15T00:00:00"/>
    <m/>
    <m/>
    <s v="Amanda Aparecida Teixeira dos Santos"/>
    <s v="Amanda Santos"/>
    <m/>
    <s v=""/>
    <s v="Não"/>
    <s v="Visita Domo de Ferro"/>
    <d v="2026-09-04T00:00:00"/>
    <s v="Amanda Aparecida Teixeira dos Santos"/>
    <d v="2026-09-04T00:00:00"/>
    <s v="Amanda Aparecida Teixeira dos Santos"/>
    <n v="100"/>
    <n v="100"/>
    <n v="100"/>
    <s v=""/>
    <m/>
    <s v=""/>
    <s v="COXIM"/>
    <n v="31"/>
    <s v="&gt;50 dias"/>
    <s v="Fora"/>
    <s v="Risco"/>
    <e v="#VALUE!"/>
    <n v="10"/>
  </r>
  <r>
    <s v="147"/>
    <s v="Visita Domo de Ferro"/>
    <x v="5"/>
    <s v="DCMD"/>
    <d v="2026-05-12T00:00:00"/>
    <s v="Giovani Moura Sousa"/>
    <s v="Finalizada"/>
    <x v="1"/>
    <s v=""/>
    <s v=""/>
    <s v=""/>
    <s v="CENTRO"/>
    <s v="Sidrolândia"/>
    <s v="Assembleia Legislativa"/>
    <s v="Sidrolândia"/>
    <s v="NÃO CONSTA INFORMAÇÕES BÁSICAS PARA SEGUIR COM A TRATATIVA."/>
    <d v="2026-05-12T00:00:00"/>
    <s v="Gentileza verificar como esta a questão de programação de poda no município de Sidrolândia."/>
    <d v="2026-08-13T00:00:00"/>
    <m/>
    <m/>
    <m/>
    <m/>
    <s v="Evair Rogerio da Conceicao"/>
    <s v="Gabriella Domingo"/>
    <s v="Deputado Renato Câmara_x000a_Giovani Energisa"/>
    <s v="Giovani Moura Sousa"/>
    <s v="Não"/>
    <s v="Visita Domo de Ferro"/>
    <d v="2026-09-03T00:00:00"/>
    <s v="Moacir Costa Neto"/>
    <d v="2026-08-13T00:00:00"/>
    <s v="Gabriella Amorim Domingo"/>
    <n v="100"/>
    <n v="100"/>
    <n v="100"/>
    <s v=""/>
    <m/>
    <s v=""/>
    <s v="CAMPO GRANDE INTERIOR"/>
    <n v="132"/>
    <s v="&gt;50 dias"/>
    <s v="Dentro"/>
    <s v="Não risco"/>
    <e v="#VALUE!"/>
    <n v="93"/>
  </r>
  <r>
    <s v="147"/>
    <s v="Visita Domo de Ferro"/>
    <x v="2"/>
    <s v="DESC"/>
    <d v="2026-05-12T00:00:00"/>
    <s v="Giovani Moura Sousa"/>
    <s v="Finalizada"/>
    <x v="1"/>
    <s v=""/>
    <s v=""/>
    <s v=""/>
    <s v="CENTRO"/>
    <s v="Sidrolândia"/>
    <s v="Assembleia Legislativa"/>
    <s v="Sidrolândia"/>
    <s v="NÃO CONSTA INFORMAÇÕES BÁSICAS PARA SEGUIR COM A TRATATIVA."/>
    <d v="2026-05-12T00:00:00"/>
    <s v="Agente Giovani, quanto a qualidade sobre o reestabelecimento de energia em tempo hábil precisa de mais informações para análise da área."/>
    <d v="2026-08-13T00:00:00"/>
    <m/>
    <m/>
    <m/>
    <m/>
    <s v="Giovani Moura Sousa"/>
    <s v="Gabriella Domingo"/>
    <s v="Deputado Renato Câmara_x000a_Giovani Energisa"/>
    <s v="Giovani Moura Sousa"/>
    <s v="Não"/>
    <s v="Visita Domo de Ferro"/>
    <d v="2026-09-03T00:00:00"/>
    <s v="Moacir Costa Neto"/>
    <d v="2026-08-13T00:00:00"/>
    <s v="Gabriella Amorim Domingo"/>
    <n v="100"/>
    <n v="100"/>
    <n v="100"/>
    <s v=""/>
    <m/>
    <s v=""/>
    <s v="CAMPO GRANDE INTERIOR"/>
    <n v="132"/>
    <s v="&gt;50 dias"/>
    <s v="Dentro"/>
    <s v="Não risco"/>
    <e v="#VALUE!"/>
    <n v="93"/>
  </r>
  <r>
    <s v="150"/>
    <s v="Visita Domo de Ferro"/>
    <x v="2"/>
    <s v="DESC"/>
    <d v="2026-05-12T00:00:00"/>
    <s v="Giovani Moura Sousa"/>
    <s v="Finalizada"/>
    <x v="1"/>
    <s v="Câmara Municipal Ponta Porã"/>
    <s v=""/>
    <s v=""/>
    <s v="SUL"/>
    <s v="Ponta Porã"/>
    <s v="Câmara"/>
    <s v="Ponta Porã"/>
    <s v="Solicitou atenão da Energisa quanto ao tempo de reestabelecimento da energia._x000a_Solicitou medição da energia que chega na torre transmissora da rádio de sua propriedade."/>
    <m/>
    <s v="Agente solicitar unidade consumidora ou uma referência para localizar a unidade reclamada."/>
    <d v="2026-05-12T00:00:00"/>
    <s v="Enviado ao Agente no whats. Agente solicitar unidade consumidora ou uma referência para localizar a unidade reclamada."/>
    <m/>
    <m/>
    <m/>
    <s v="Vazio"/>
    <s v="Danila Souza"/>
    <s v="Vereador Agnaldo Miudinho_x000a_Giovani energisa"/>
    <s v="Fabricio da Silva Almeida"/>
    <s v="Não"/>
    <s v="Visita Domo de Ferro"/>
    <d v="2026-09-03T00:00:00"/>
    <s v="Moacir Costa Neto"/>
    <d v="2026-05-12T00:00:00"/>
    <s v="Danila Hertal Moreira Souza"/>
    <n v="25"/>
    <n v="25"/>
    <n v="12.5"/>
    <s v=""/>
    <m/>
    <s v=""/>
    <s v="PONTA PORA"/>
    <n v="132"/>
    <s v="&gt;50 dias"/>
    <s v="Dentro"/>
    <s v="Não risco"/>
    <e v="#VALUE!"/>
    <n v="46154"/>
  </r>
  <r>
    <s v="156"/>
    <s v="Visita Domo de Ferro"/>
    <x v="2"/>
    <s v="DEOP"/>
    <d v="2026-07-28T00:00:00"/>
    <s v="Giovani Moura Sousa"/>
    <s v="Finalizada"/>
    <x v="1"/>
    <s v=""/>
    <s v=""/>
    <s v=""/>
    <s v="SUL"/>
    <s v="Dourados"/>
    <s v="Câmara"/>
    <s v="Dourados"/>
    <s v="Vereador solicitou revisão no sistema elétrico nos bairros Novo Horizonte e Altos do Indaiá em Dourados. Protocolo 9500628194."/>
    <m/>
    <s v="Gentileza verificar os bairros relatados pelo vereador. Na reunião em campo o Agente de relacionamento Giovani coletou o protocolo 9500628194 UC 3742758."/>
    <d v="2026-08-18T00:00:00"/>
    <s v="DUPLICADO COM ID 550"/>
    <m/>
    <m/>
    <d v="2026-08-18T00:00:00"/>
    <s v="Gerson Mendes Ortiz"/>
    <s v="Bruna Santos"/>
    <s v="Vereador Sargento Prates_x000a_Giovani energisa"/>
    <s v="Giovani Moura Sousa"/>
    <s v="Não"/>
    <s v="Visita Domo de Ferro"/>
    <d v="2026-09-03T00:00:00"/>
    <s v="Moacir Costa Neto"/>
    <d v="2026-08-18T00:00:00"/>
    <s v="Bruna Fabiana Braguin dos Santos"/>
    <n v="25"/>
    <n v="25"/>
    <n v="25"/>
    <s v=""/>
    <m/>
    <s v=""/>
    <s v="DOURADOS"/>
    <n v="55"/>
    <s v="&gt;50 dias"/>
    <s v="Dentro"/>
    <s v="Não risco"/>
    <e v="#VALUE!"/>
    <n v="46252"/>
  </r>
  <r>
    <s v="186"/>
    <s v="Visita Domo de Ferro"/>
    <x v="1"/>
    <s v="DCMD"/>
    <d v="2026-07-28T00:00:00"/>
    <s v="Dian Cleiton de Brito"/>
    <s v="Finalizada"/>
    <x v="1"/>
    <s v=""/>
    <s v=""/>
    <s v=""/>
    <s v="SUL"/>
    <s v="Jateí"/>
    <s v="Prefeitura"/>
    <s v="Jateí"/>
    <s v="Agenda para evitar audiência Pública."/>
    <d v="2026-05-13T00:00:00"/>
    <s v="Arquivo da visita referentes ao pontos em KML em anexo nesse card._x000a_ Ponto 1 – Poda MT/BT_x000a_ Ponto 4 – Poda MT_x000a_ Ponto 5 – Poda BT_x000a_ Ponto 6 – Manutenção Fusível_x000a_ Ponto 7 – Poda BT_x000a_ Ponto 12 – Medidor Exposto_x000a_ Ponto 13 – Poda BT_x000a_ Ponto 14 – Poda/Manutenção_x000a_ Ponto 15 – Poda BT_x000a_ Ponto 16 – Poda BT_x000a_ Ponto 17 – Poda BT_x000a_ Ponto 18 – Poda BT_x000a_ Ponto 19 – Poda MT_x000a_ Ponto 20 – Aprumar Poste_x000a_ Ponto 21 – Regularizar Ramal / Implantar Poste._x000a_ Ponto 22 – Poda BT_x000a_ Ponto 23 – Poda MT_x000a_ Ponto 24 – Poda MT"/>
    <d v="2026-08-13T00:00:00"/>
    <m/>
    <m/>
    <d v="2026-08-28T00:00:00"/>
    <m/>
    <s v="Evair Rogerio da Conceicao"/>
    <s v="Gabriella Domingo"/>
    <s v="Prefeita- Cileide_x000a_Presidente da Câmara - Robinho_x000a_Representante do Comercio_x000a_SANESUL_x000a_Representante assentamento rural"/>
    <s v="Dian Cleiton de Brito"/>
    <s v="Não"/>
    <s v="Visita Domo de Ferro"/>
    <d v="2026-09-03T00:00:00"/>
    <s v="Moacir Costa Neto"/>
    <d v="2026-08-13T00:00:00"/>
    <s v="Gabriella Amorim Domingo"/>
    <n v="100"/>
    <n v="100"/>
    <n v="100"/>
    <s v=""/>
    <m/>
    <s v=""/>
    <s v="DOURADOS"/>
    <n v="55"/>
    <s v="&gt;50 dias"/>
    <s v="Dentro"/>
    <s v="Não risco"/>
    <e v="#VALUE!"/>
    <n v="92"/>
  </r>
  <r>
    <s v="186"/>
    <s v="Visita Domo de Ferro"/>
    <x v="1"/>
    <s v="DEOP"/>
    <d v="2026-07-28T00:00:00"/>
    <s v="Dian Cleiton de Brito"/>
    <s v="Finalizada"/>
    <x v="1"/>
    <s v=""/>
    <s v=""/>
    <s v=""/>
    <s v="SUL"/>
    <s v="Jateí"/>
    <s v="Prefeitura"/>
    <s v="Jateí"/>
    <s v="Agenda para evitar audiência Pública."/>
    <m/>
    <s v="Sobrecarga: Alegaram que um dos loteamentos da cidade está com constantes faltas de energia, e que suspeitam de sobrecarga, o bairro se chama PORTAL DO SOL. Explicamos para os presentes que podemos estar tratando de um possível aumento de carga a revelia. Solicitamos para que a câmara nos passe as UC´s para realizarmos uma avaliação completa no local.Citaram que lá existe: Igreja, salão, funilaria, loja de material para construção._x000a_As referências elétricas são: TD(748480) // TD(748483) // TD (705324) // TD (705323) // TD (9631) - GDO02_x000a_Falta de energia: Gleba Nova Esperança: Alegam constantes interrupções nesta região, alegam que lá existe uma escola com mais de 200 alunos e que vem sofrendo com constantes quedas de energia.  As referências elétricas são: TD(35070) // TD (34501) // TD (719015) – NHS 01._x000a_ Manutenção: Informaram que existe uma demanda para troca de postes de madeira de eucalipto. Informações que iriamos checar o status dessa demanda e dar uma devolutiva."/>
    <d v="2026-08-25T00:00:00"/>
    <s v="É necessário que o município encaminhe um oficio contendo as unidades consumidoras e a descrição de cada uma, para que possamos realizar o ajuste, o município precisa formalizar o pedido através de oficio."/>
    <m/>
    <m/>
    <d v="2026-08-25T00:00:00"/>
    <s v="Gerson Mendes Ortiz"/>
    <s v="Wander Machado"/>
    <s v="Prefeita- Cileide_x000a_Presidente da Câmara - Robinho_x000a_Representante do Comercio_x000a_SANESUL_x000a_Representante assentamento rural"/>
    <s v="Dian Cleiton de Brito"/>
    <s v="Não"/>
    <s v="Visita Domo de Ferro"/>
    <d v="2026-09-03T00:00:00"/>
    <s v="Moacir Costa Neto"/>
    <d v="2026-08-25T00:00:00"/>
    <s v="Wander Idalino Machado"/>
    <n v="100"/>
    <n v="100"/>
    <n v="100"/>
    <s v=""/>
    <m/>
    <s v=""/>
    <s v="DOURADOS"/>
    <n v="55"/>
    <s v="&gt;50 dias"/>
    <s v="Dentro"/>
    <s v="Não risco"/>
    <e v="#VALUE!"/>
    <n v="46259"/>
  </r>
  <r>
    <s v="186"/>
    <s v="Visita Domo de Ferro"/>
    <x v="1"/>
    <s v="DESC"/>
    <d v="2026-07-28T00:00:00"/>
    <s v="Dian Cleiton de Brito"/>
    <s v="Finalizada"/>
    <x v="1"/>
    <s v=""/>
    <s v=""/>
    <s v=""/>
    <s v="SUL"/>
    <s v="Jateí"/>
    <s v="Prefeitura"/>
    <s v="Jateí"/>
    <s v="Agenda para evitar audiência Pública."/>
    <d v="2026-05-13T00:00:00"/>
    <s v=" Ajuste no Faturamento: A Prefeita solicita a alteração dos nomes das unidades consumidoras da Prefeitura, de forma a facilitar a gestão do município na hora de pagar as despesas, uma vez que atualmente a descrição das unidades da Prefeitura não discriminam qual é o local (Posto de Saúde, Creche, Escola, Prefeitura)."/>
    <d v="2026-08-25T00:00:00"/>
    <s v="É necessário que o município encaminhe um oficio contendo as unidades consumidoras e a descrição de cada uma, para que possamos realizar o ajuste, o município precisa formalizar o pedido através de oficio."/>
    <m/>
    <m/>
    <d v="2026-08-25T00:00:00"/>
    <s v="Monike Chaves"/>
    <s v="Wander Machado"/>
    <s v="Prefeita- Cileide_x000a_Presidente da Câmara - Robinho_x000a_Representante do Comercio_x000a_SANESUL_x000a_Representante assentamento rural"/>
    <s v="Dian Cleiton de Brito"/>
    <s v="Não"/>
    <s v="Visita Domo de Ferro"/>
    <d v="2026-09-03T00:00:00"/>
    <s v="Moacir Costa Neto"/>
    <d v="2026-08-25T00:00:00"/>
    <s v="Wander Idalino Machado"/>
    <n v="100"/>
    <n v="100"/>
    <n v="100"/>
    <s v=""/>
    <m/>
    <s v=""/>
    <s v="DOURADOS"/>
    <n v="55"/>
    <s v="&gt;50 dias"/>
    <s v="Dentro"/>
    <s v="Não risco"/>
    <e v="#VALUE!"/>
    <n v="104"/>
  </r>
  <r>
    <s v="248"/>
    <s v="Visita Domo de Ferro"/>
    <x v="0"/>
    <s v="DESC"/>
    <d v="2026-05-12T00:00:00"/>
    <s v="Dian Cleiton de Brito"/>
    <s v="Finalizada"/>
    <x v="1"/>
    <s v=""/>
    <s v=""/>
    <s v=""/>
    <s v="SUL"/>
    <s v="Fátima do Sul"/>
    <s v="Prefeitura"/>
    <s v="Fátima do Sul"/>
    <s v="SOLICITA AGILIZAR ANALISE DE PROJETO DE GD QUE TEM RECURSOS APROVADOS PELA ITAIPU._x000a__x000a_PROJETO APROVADO DIA 27/05."/>
    <d v="2026-06-22T00:00:00"/>
    <s v="Dian, gentileza confirmar com a prefeitura se receberam o orçamento. E garantir estão ciente que devem solicitar o orçamento do ponto de entrega para conexão do empreendimento, pois até o momento não tem essa solicitação registrada."/>
    <d v="2026-08-13T00:00:00"/>
    <m/>
    <m/>
    <m/>
    <m/>
    <s v="Dian Cleiton de Brito"/>
    <s v="Gabriella Domingo"/>
    <s v="Marcio Jose Gomes_x000a_Danilo Katsomori_x000a_Dirceu Deguti Viera Filho_x000a_Bruno de Araujo Benites Rosa da EFENG"/>
    <s v="Dian Cleiton de Brito"/>
    <s v="Não"/>
    <s v="Visita Domo de Ferro"/>
    <d v="2026-09-03T00:00:00"/>
    <s v="Moacir Costa Neto"/>
    <d v="2026-08-13T00:00:00"/>
    <s v="Gabriella Amorim Domingo"/>
    <n v="100"/>
    <n v="100"/>
    <n v="100"/>
    <s v=""/>
    <m/>
    <s v=""/>
    <s v="RIO BRILHANTE"/>
    <n v="132"/>
    <s v="&gt;50 dias"/>
    <s v="Dentro"/>
    <s v="Não risco"/>
    <e v="#VALUE!"/>
    <n v="52"/>
  </r>
  <r>
    <s v="248"/>
    <s v="Visita Domo de Ferro"/>
    <x v="8"/>
    <s v="DCMD"/>
    <d v="2026-05-12T00:00:00"/>
    <s v="Dian Cleiton de Brito"/>
    <s v="Finalizada"/>
    <x v="1"/>
    <s v=""/>
    <s v=""/>
    <s v=""/>
    <s v="SUL"/>
    <s v="Fátima do Sul"/>
    <s v="Prefeitura"/>
    <s v="Fátima do Sul"/>
    <s v="SOLICITA AGILIZAR ANALISE DE PROJETO DE GD QUE TEM RECURSOS APROVADOS PELA ITAIPU._x000a__x000a_PROJETO APROVADO DIA 27/05."/>
    <d v="2026-05-13T00:00:00"/>
    <s v="Solicitado para agilizar análise do PE 1962226. OS nº 530498622."/>
    <d v="2026-06-24T00:00:00"/>
    <m/>
    <d v="2026-07-31T00:00:00"/>
    <m/>
    <d v="2026-06-22T00:00:00"/>
    <s v="Bruna Victoria Rodrigues Ricardes"/>
    <s v="Rafaela Almeida"/>
    <s v="Marcio Jose Gomes_x000a_Danilo Katsomori_x000a_Dirceu Deguti Viera Filho_x000a_Bruno de Araujo Benites Rosa da EFENG"/>
    <s v="Dian Cleiton de Brito"/>
    <s v="Não"/>
    <s v="Visita Domo de Ferro"/>
    <d v="2026-09-03T00:00:00"/>
    <s v="Moacir Costa Neto"/>
    <d v="2026-06-24T00:00:00"/>
    <s v="Rafaela Mattos de Almeida"/>
    <n v="100"/>
    <n v="100"/>
    <n v="100"/>
    <s v=""/>
    <m/>
    <s v=""/>
    <s v="RIO BRILHANTE"/>
    <n v="132"/>
    <s v="&gt;50 dias"/>
    <s v="Dentro"/>
    <s v="Não risco"/>
    <e v="#VALUE!"/>
    <n v="42"/>
  </r>
  <r>
    <s v="269"/>
    <s v="Visita Domo de Ferro"/>
    <x v="4"/>
    <s v="DESC"/>
    <d v="2026-01-30T00:00:00"/>
    <s v="Monike Chaves"/>
    <s v="Finalizada"/>
    <x v="1"/>
    <s v="Prefeitura de Rio Negro"/>
    <s v=""/>
    <s v=""/>
    <s v="NORTE"/>
    <s v="Rio Negro"/>
    <s v="Prefeitura"/>
    <s v="Rio Negro"/>
    <s v="Agenda de Campo - Projeto Integrar"/>
    <d v="2026-05-13T00:00:00"/>
    <s v="Sinalizado alguns empreendimentos novos no município que será lançado como: Loteamento Valdemar Pedro e a Pavimentação da estrada da Ponte Nova."/>
    <m/>
    <m/>
    <m/>
    <m/>
    <m/>
    <s v="Monike Chaves"/>
    <s v=""/>
    <m/>
    <s v="Luis Filipe Swenson Pereira Amado, Anderson Brum Smaniotto"/>
    <s v="Não"/>
    <s v="Visita Domo de Ferro"/>
    <d v="2026-09-03T00:00:00"/>
    <s v="Moacir Costa Neto"/>
    <d v="2026-05-13T00:00:00"/>
    <s v="Danila Hertal Moreira Souza"/>
    <n v="100"/>
    <n v="100"/>
    <n v="50"/>
    <s v=""/>
    <m/>
    <s v=""/>
    <s v="COXIM"/>
    <n v="234"/>
    <s v="&gt;50 dias"/>
    <s v="Dentro"/>
    <s v="Não risco"/>
    <s v="Sim"/>
    <n v="131"/>
  </r>
  <r>
    <s v="269"/>
    <s v="Visita Domo de Ferro"/>
    <x v="2"/>
    <s v="DEOP"/>
    <d v="2026-01-30T00:00:00"/>
    <s v="Monike Chaves"/>
    <s v="Finalizada"/>
    <x v="1"/>
    <s v=""/>
    <s v=""/>
    <s v=""/>
    <s v="NORTE"/>
    <s v="Rio Negro"/>
    <s v="Prefeitura"/>
    <s v="Rio Negro"/>
    <s v="Agenda de Campo - Projeto Integrar"/>
    <d v="2026-05-13T00:00:00"/>
    <s v="Ativar o RD recém instalado: RD58497164."/>
    <d v="2026-08-13T00:00:00"/>
    <s v="RD58497164 - com supervisão, imagem anexo."/>
    <m/>
    <m/>
    <d v="2026-08-13T00:00:00"/>
    <s v="Gerson Mendes Ortiz"/>
    <s v="Bruna Santos"/>
    <m/>
    <s v="Luis Filipe Swenson Pereira Amado, Anderson Brum Smaniotto"/>
    <s v="Não"/>
    <s v="Visita Domo de Ferro"/>
    <d v="2026-09-03T00:00:00"/>
    <s v="Moacir Costa Neto"/>
    <d v="2026-08-13T00:00:00"/>
    <s v="Bruna Fabiana Braguin dos Santos"/>
    <n v="100"/>
    <n v="100"/>
    <n v="100"/>
    <s v=""/>
    <m/>
    <s v=""/>
    <s v="COXIM"/>
    <n v="234"/>
    <s v="&gt;50 dias"/>
    <s v="Dentro"/>
    <s v="Não risco"/>
    <s v="Sim"/>
    <n v="92"/>
  </r>
  <r>
    <s v="270"/>
    <s v="Visita Domo de Ferro"/>
    <x v="1"/>
    <s v="DEOP"/>
    <d v="2026-05-18T00:00:00"/>
    <s v="Monike Chaves"/>
    <s v="Finalizada"/>
    <x v="1"/>
    <s v=""/>
    <s v=""/>
    <s v=""/>
    <s v="SUL"/>
    <s v="Vicentina"/>
    <s v="Prefeitura"/>
    <s v="Vicentina"/>
    <s v="Agenda de Campo - Projeto Integrar"/>
    <d v="2026-05-18T00:00:00"/>
    <s v="Prefeito pediu uma atenção especial para um assentamento que fica no município de Caarapó, porém pela proximidade com Vicentina os moradores vão até o município para solicitar melhorias, são produtores de leite. ASSENTAMENTO NOSSA SRA. DO CARMO - 41 Assentados. Manutenção de rede. Verificar reincidência de abertura e inserir num acompanhamento específico. Referências elétricas: FU(963) FU(38390) - VIC02"/>
    <d v="2026-08-13T00:00:00"/>
    <s v="AÇÃO FINALIZADA EM CAMPO, EM CONTATO COM O PREFEITO, HOUVE UMA MELHORA SIGNIFICATIVA APÓS AS MANUTENÇÕES"/>
    <m/>
    <m/>
    <d v="2026-08-13T00:00:00"/>
    <s v="Luan Henrique Soares Diniz Afonso"/>
    <s v="Bruna Santos"/>
    <s v="Reunião realizada com a prefeitura: Prefeito Cleber, Bruna e Leticia."/>
    <s v="Diego Souza Silva"/>
    <s v="Não"/>
    <s v="Visita Domo de Ferro"/>
    <d v="2026-09-03T00:00:00"/>
    <s v="Moacir Costa Neto"/>
    <d v="2026-08-13T00:00:00"/>
    <s v="Bruna Fabiana Braguin dos Santos"/>
    <n v="100"/>
    <n v="100"/>
    <n v="100"/>
    <s v=""/>
    <m/>
    <s v=""/>
    <s v="NOVA ANDRADINA"/>
    <n v="126"/>
    <s v="&gt;50 dias"/>
    <s v="Dentro"/>
    <s v="Não risco"/>
    <s v="Sim"/>
    <n v="87"/>
  </r>
  <r>
    <s v="270"/>
    <s v="Visita Domo de Ferro"/>
    <x v="1"/>
    <s v="DESC"/>
    <d v="2026-05-18T00:00:00"/>
    <s v="Monike Chaves"/>
    <s v="Finalizada"/>
    <x v="1"/>
    <s v=""/>
    <s v=""/>
    <s v=""/>
    <s v="SUL"/>
    <s v="Vicentina"/>
    <s v="Prefeitura"/>
    <s v="Vicentina"/>
    <s v="Agenda de Campo - Projeto Integrar"/>
    <d v="2026-05-18T00:00:00"/>
    <s v="Checar se estão cadastrados como bacia leiteira"/>
    <d v="2026-06-24T00:00:00"/>
    <m/>
    <d v="2026-06-18T00:00:00"/>
    <m/>
    <m/>
    <s v="Monike Chaves"/>
    <s v="Rafaela Almeida"/>
    <s v="Reunião realizada com a prefeitura: Prefeito Cleber, Bruna e Leticia."/>
    <s v="Diego Souza Silva"/>
    <s v="Não"/>
    <s v="Visita Domo de Ferro"/>
    <d v="2026-09-03T00:00:00"/>
    <s v="Moacir Costa Neto"/>
    <d v="2026-06-24T00:00:00"/>
    <s v="Rafaela Mattos de Almeida"/>
    <n v="100"/>
    <n v="100"/>
    <n v="100"/>
    <s v=""/>
    <m/>
    <s v=""/>
    <s v="NOVA ANDRADINA"/>
    <n v="126"/>
    <s v="&gt;50 dias"/>
    <s v="Fora"/>
    <s v="Não risco"/>
    <s v="Sim"/>
    <n v="37"/>
  </r>
  <r>
    <s v="272"/>
    <s v="Visita Domo de Ferro"/>
    <x v="1"/>
    <s v="Central do Cliente"/>
    <d v="2026-05-13T00:00:00"/>
    <s v="Danila Hertal Moreira Souza"/>
    <s v="Finalizada"/>
    <x v="1"/>
    <s v=""/>
    <s v=""/>
    <s v=""/>
    <s v="SUL"/>
    <s v="Dourados"/>
    <s v="Prefeitura"/>
    <s v="Dourados"/>
    <s v="Origem: Thiago Balbio/Pres. Paulo. Solicitação de prioridade da obra 0202600473- Afastamento de Rede OS 509306177. Expectativa do cliente:  o quanto antes essas, lançado no priorizador 31/05."/>
    <d v="2026-05-13T00:00:00"/>
    <m/>
    <d v="2026-08-11T00:00:00"/>
    <m/>
    <m/>
    <m/>
    <m/>
    <s v="Vazio"/>
    <s v="Aline Mesquita"/>
    <s v="Prefeito Marçal Filho"/>
    <s v="Danila Hertal Moreira Souza"/>
    <s v="Não"/>
    <s v="Visita Domo de Ferro"/>
    <d v="2026-09-03T00:00:00"/>
    <s v="Moacir Costa Neto"/>
    <d v="2026-08-11T00:00:00"/>
    <s v="Aline da Silva Mesquita"/>
    <n v="100"/>
    <n v="100"/>
    <n v="100"/>
    <s v=""/>
    <m/>
    <s v=""/>
    <s v="DOURADOS"/>
    <n v="131"/>
    <s v="&gt;50 dias"/>
    <s v="Dentro"/>
    <s v="Não risco"/>
    <e v="#VALUE!"/>
    <n v="90"/>
  </r>
  <r>
    <s v="272"/>
    <s v="Visita Domo de Ferro"/>
    <x v="0"/>
    <s v="DCMD"/>
    <d v="2026-05-13T00:00:00"/>
    <s v="Danila Hertal Moreira Souza"/>
    <s v="Finalizada"/>
    <x v="1"/>
    <s v="Prefeitura de Dourados"/>
    <s v=""/>
    <s v="0202600473"/>
    <s v="SUL"/>
    <s v="Dourados"/>
    <s v="Prefeitura"/>
    <s v="Dourados"/>
    <s v="Origem: Thiago Balbio/Pres. Paulo. Solicitação de prioridade da obra 0202600473- Afastamento de Rede OS 509306177. Expectativa do cliente:  o quanto antes essas, lançado no priorizador 31/05."/>
    <d v="2026-05-13T00:00:00"/>
    <s v="Origem: Thiago Balbio/Pres. Paulo. Solicitação de prioridade da obra 0202600473- Afastamento de Rede OS 509306177. Expectativa do cliente:  o quanto antes essas, lançado no priorizador 31/05."/>
    <d v="2026-06-11T00:00:00"/>
    <s v="CONCLUIDA"/>
    <d v="2026-05-31T00:00:00"/>
    <m/>
    <m/>
    <s v="Felipe Souza do Nascimento"/>
    <s v="Felipe Nascimento"/>
    <s v="Prefeito Marçal Filho"/>
    <s v="Danila Hertal Moreira Souza"/>
    <s v="Não"/>
    <s v="Visita Domo de Ferro"/>
    <d v="2026-09-03T00:00:00"/>
    <s v="Moacir Costa Neto"/>
    <d v="2026-06-11T00:00:00"/>
    <s v="Felipe Souza do Nascimento"/>
    <n v="100"/>
    <n v="100"/>
    <n v="50"/>
    <s v=""/>
    <m/>
    <s v=""/>
    <s v="DOURADOS"/>
    <n v="131"/>
    <s v="&gt;50 dias"/>
    <s v="Fora"/>
    <s v="Não risco"/>
    <e v="#VALUE!"/>
    <n v="29"/>
  </r>
  <r>
    <s v="283"/>
    <s v="Visita Domo de Ferro"/>
    <x v="3"/>
    <s v="DCMD"/>
    <d v="2026-05-14T00:00:00"/>
    <s v="Giovani Moura Sousa"/>
    <s v="Finalizada"/>
    <x v="1"/>
    <s v=""/>
    <s v=""/>
    <s v=""/>
    <s v="CENTRO"/>
    <s v="Campo Grande"/>
    <s v="Câmara"/>
    <s v="Campo Grande"/>
    <s v="RECOMPOSIÇÃO DE ENERGIA EM RUA LATERAL DO CONDOMÍNIO RIVIERA_x000a_LIGAÇÃO DE ILUMINAÇÃO PÚBLICA"/>
    <d v="2026-05-20T00:00:00"/>
    <s v="Conforme conversado pelo ligação com o César irá uma equipe no local hoje 20/05 para realizar o levantamento do que precisa para realizar a adequação da rede no máximo até sexta 22/05."/>
    <d v="2026-08-21T00:00:00"/>
    <s v="EM CONTATO COM O CESAR DO DCMD, INFORMOU QUE FOI REGULARIZADO"/>
    <m/>
    <m/>
    <m/>
    <s v="Evair Rogerio da Conceicao"/>
    <s v="Bruna Santos"/>
    <s v="Vereador André Salineiro_x000a_Giovani Moura Energisa"/>
    <s v="Giovani Moura Sousa"/>
    <s v="Não"/>
    <s v="Visita Domo de Ferro"/>
    <d v="2026-08-21T00:00:00"/>
    <s v="Bruna Fabiana Braguin dos Santos"/>
    <d v="2026-08-21T00:00:00"/>
    <s v="Bruna Fabiana Braguin dos Santos"/>
    <n v="25"/>
    <n v="25"/>
    <n v="25"/>
    <s v=""/>
    <m/>
    <s v=""/>
    <s v="CAMPO GRANDE"/>
    <n v="130"/>
    <s v="&gt;50 dias"/>
    <s v="Dentro"/>
    <s v="Não risco"/>
    <e v="#VALUE!"/>
    <n v="93"/>
  </r>
  <r>
    <s v="290"/>
    <s v="Visita Domo de Ferro"/>
    <x v="1"/>
    <s v="DEOP"/>
    <d v="2026-02-01T00:00:00"/>
    <s v="Monike Chaves"/>
    <s v="Finalizada"/>
    <x v="1"/>
    <s v=""/>
    <s v=""/>
    <s v=""/>
    <s v="SUL"/>
    <s v="Jateí"/>
    <s v="Prefeitura"/>
    <s v="Jateí"/>
    <s v="Agenda de Campo - Projeto Integrar"/>
    <d v="2026-05-18T00:00:00"/>
    <s v="1 - Falta de energia: Gleba Nova Esperança: Alegam constantes interrupções nesta região, alegam que lá existe uma escola com mais de 200 alunos e que vem sofrendo com constantes quedas de energia. Informaram que existe uma demanda para troca de postes de madeira de eucalipto. Informações que iriamos checar o status dessa demanda e dar uma devolutiva. SENDO TRATADO NO CARD 186._x000a_2 - Nível de tensão: Recebemos muitas reclamações dos vereadores de oscilações de energia ao longo do período diurno. PENDENTE_x000a_3 -"/>
    <d v="2026-08-13T00:00:00"/>
    <s v="TODAS AS AÇÕES CONCLUÍDAS"/>
    <m/>
    <m/>
    <d v="2026-08-13T00:00:00"/>
    <s v="Luan Henrique Soares Diniz Afonso"/>
    <s v="Bruna Santos"/>
    <s v="Prefeitura e Câmara: Prefeita Cileide, Vice Prefeito Francisco, Vereadora Antônia, Vereador Edson e Outros 4 vereadores"/>
    <s v="Diego Souza Silva, Emerson Seixas Costa, Thiago de Alvarenga Balbio"/>
    <s v="Não"/>
    <s v="Solicitações GA"/>
    <d v="2026-09-03T00:00:00"/>
    <s v="Moacir Costa Neto"/>
    <d v="2026-08-13T00:00:00"/>
    <s v="Bruna Fabiana Braguin dos Santos"/>
    <n v="100"/>
    <n v="100"/>
    <n v="100"/>
    <s v=""/>
    <m/>
    <s v=""/>
    <s v="DOURADOS"/>
    <n v="232"/>
    <s v="&gt;50 dias"/>
    <s v="Dentro"/>
    <s v="Não risco"/>
    <s v="Sim"/>
    <n v="87"/>
  </r>
  <r>
    <s v="290"/>
    <s v="Visita Domo de Ferro"/>
    <x v="1"/>
    <s v="DESC"/>
    <d v="2026-02-01T00:00:00"/>
    <s v="Monike Chaves"/>
    <s v="Finalizada"/>
    <x v="1"/>
    <s v=""/>
    <s v=""/>
    <s v=""/>
    <s v="SUL"/>
    <s v="Jateí"/>
    <s v="Prefeitura"/>
    <s v="Jateí"/>
    <s v="Agenda de Campo - Projeto Integrar"/>
    <d v="2026-05-18T00:00:00"/>
    <s v="1 - Prefeita informou que a maior festa da cidade é a festa da fogueira, e será em 2026 em 29/06. INFORMAÇÃO_x000a_2 - Hotel na frente da praça: Prefeita citou que esse hotel é do mesmo dono do restaurante, a solicitação está no nome do solicitante: Edson Alves dos Santos (67 99698-3121). Prefeita pediu para agilizar esse pedido. PENDENTE_x000a_3 - A unidade consumidora do restaurante (mesmo dono), alega estar com problemas de tensão, iremos checar para ver se temos histórico deste pedido. Edson Alves dos Santos (67 99698-3121). PENDENTE_x000a_4 - A Prefeita solicita a alteração dos nomes das unidades consumidoras da Prefeitura, de forma a facilitar a gestão do município na hora de pagar as despesas, uma vez que atualmente a descrição das unidades da Prefeitura não discriminam qual é o local (Posto de Saúde, Creche, Escola, Prefeitura). SENDO TRATADO NO CARD 186_x000a_5 - Atendimento: Reclamaram muito da GISA e do CallBack realizado pela Energisa, citaram muita dificuldade em serem atendidos pelos canais digitais. (PENDENTE)_x000a_6 - Prefeita citou sobre a comissão da Assomasul (Associação dos Municípios de Mato Grosso do Sul), onde percebe que estão sendo tratados muitos assuntos que envolvem a Energisa. INFORMAÇÃO_x000a_7 - usina solar construída pela Prefeitura. SENDO TRATADO NO CARD 186_x000a_8 - A Prefeita trouxe para discussão a COSIP e a taxa de iluminação pública. Ela até citou que desejava utilizar os créditos de sua usina solar para abater a Cosip, mas de qualquer forma caso essa ideia não seja viável, deseja ver uma forma de isentar as famílias de baixa rende de pagar a taxa, e segundo e vereador Edson, já existe uma lei municipal prevendo essa possibilidade. _x0009__x000a_Monike explicou que existe uma Portaria que ampara esse assunto, a se comprometeu a compartilhar com a Prefeitura. SENDO TRATADO NO CARD 186_x000a_9 - Sobre a carreta &quot;Nossa Energia&quot; da Eficiência Energética. Prefeita demonstrou interesse, solicitei para que ela sugerisse uma data para a realização de uma ação na cidade. (11 de novembro é o aniversário da cidade). Dia da Mulher: Em razão do município de Jateí. INFORMAÇÃO"/>
    <d v="2026-08-13T00:00:00"/>
    <s v="TODAS AS AÇÕES TRATADAS."/>
    <m/>
    <m/>
    <d v="2026-08-13T00:00:00"/>
    <s v="Monike Chaves"/>
    <s v="Bruna Santos"/>
    <s v="Prefeitura e Câmara: Prefeita Cileide, Vice Prefeito Francisco, Vereadora Antônia, Vereador Edson e Outros 4 vereadores"/>
    <s v="Diego Souza Silva, Emerson Seixas Costa, Thiago de Alvarenga Balbio"/>
    <s v="Não"/>
    <s v="Visita Domo de Ferro"/>
    <d v="2026-09-03T00:00:00"/>
    <s v="Moacir Costa Neto"/>
    <d v="2026-08-13T00:00:00"/>
    <s v="Bruna Fabiana Braguin dos Santos"/>
    <n v="100"/>
    <n v="100"/>
    <n v="100"/>
    <s v=""/>
    <m/>
    <s v=""/>
    <s v="DOURADOS"/>
    <n v="232"/>
    <s v="&gt;50 dias"/>
    <s v="Dentro"/>
    <s v="Não risco"/>
    <s v="Sim"/>
    <n v="87"/>
  </r>
  <r>
    <s v="290"/>
    <s v="Visita Domo de Ferro"/>
    <x v="2"/>
    <s v="DEOP"/>
    <d v="2026-02-01T00:00:00"/>
    <s v="Monike Chaves"/>
    <s v="Finalizada"/>
    <x v="1"/>
    <s v="Prefeitura de Jateí"/>
    <s v=""/>
    <s v=""/>
    <s v="SUL"/>
    <s v="Jateí"/>
    <s v="Prefeitura"/>
    <s v="Jateí"/>
    <s v="Agenda de Campo - Projeto Integrar"/>
    <d v="2026-05-18T00:00:00"/>
    <s v="Sobrecarga: Alegaram que um dos loteamentos da cidade está com constantes faltas de energia, e que suspeitam de sobrecarga, o bairro se chama PORTAL DO SOL. Explicamos para os presentes que podemos estar tratando de um possível aumento de carga à revelia. Solicitamos para que a câmara nos informes as unidades consumidores para realizarmos uma avaliação completa no local. Citaram que lá existe: Igreja, salão, funilaria, loja de material para construção. As referências elétricas são: TD(748480) // TD(748483) - GDO02"/>
    <m/>
    <m/>
    <m/>
    <m/>
    <m/>
    <s v="Luan Henrique Soares Diniz Afonso"/>
    <s v=""/>
    <s v="Prefeitura e Câmara: Prefeita Cileide, Vice Prefeito Francisco, Vereadora Antônia, Vereador Edson e Outros 4 vereadores"/>
    <s v="Diego Souza Silva, Emerson Seixas Costa, Thiago de Alvarenga Balbio"/>
    <s v="Não"/>
    <s v="Visita Domo de Ferro"/>
    <d v="2026-09-03T00:00:00"/>
    <s v="Moacir Costa Neto"/>
    <d v="2026-05-18T00:00:00"/>
    <s v="Danila Hertal Moreira Souza"/>
    <n v="100"/>
    <n v="100"/>
    <n v="50"/>
    <s v=""/>
    <m/>
    <s v=""/>
    <s v="DOURADOS"/>
    <n v="232"/>
    <s v="&gt;50 dias"/>
    <s v="Dentro"/>
    <s v="Não risco"/>
    <s v="Sim"/>
    <n v="126"/>
  </r>
  <r>
    <s v="291"/>
    <s v="Visita Domo de Ferro"/>
    <x v="1"/>
    <s v="Atendimento"/>
    <d v="2026-02-01T00:00:00"/>
    <s v="Monike Chaves"/>
    <s v="Finalizada"/>
    <x v="1"/>
    <s v=""/>
    <s v=""/>
    <s v=""/>
    <s v="SUL"/>
    <s v="Deodápolis"/>
    <s v="Prefeitura"/>
    <s v="Deodápolis"/>
    <s v="Agenda de Campo - Projeto Integrar"/>
    <d v="2026-05-18T00:00:00"/>
    <s v="Atendimento: O Prefeito alegou dificuldades com o formato atual de atendimento na cidade, que é realizado dentro do Supermercado Macaúba em um Tóten com o auxílio de uma colaboradora do próprio mercado. _x000a_Ele nos informou que está abrindo uma central de atendimento ao cidadão, e ofereceu um dos postos, inclusive com mão de obra, para a agência a alocação de 1 tóten da Energisa. Essa central de atendimento estará pronta no segundo semestre."/>
    <d v="2026-08-12T00:00:00"/>
    <m/>
    <m/>
    <m/>
    <d v="2026-08-12T00:00:00"/>
    <s v="Wesley Ricardo Santana Cosim"/>
    <s v="Bruna Santos"/>
    <s v="Prefeitura e Câmara: Prefeito Jean, Assessor Orlindo."/>
    <s v="Diego Souza Silva, Emerson Seixas Costa, Thiago de Alvarenga Balbio"/>
    <s v="Não"/>
    <s v="Solicitações GA"/>
    <d v="2026-09-03T00:00:00"/>
    <s v="Moacir Costa Neto"/>
    <d v="2026-08-12T00:00:00"/>
    <s v="Bruna Fabiana Braguin dos Santos"/>
    <n v="100"/>
    <n v="100"/>
    <n v="100"/>
    <s v=""/>
    <m/>
    <s v=""/>
    <s v="NOVA ANDRADINA"/>
    <n v="232"/>
    <s v="&gt;50 dias"/>
    <s v="Dentro"/>
    <s v="Não risco"/>
    <s v="Sim"/>
    <n v="86"/>
  </r>
  <r>
    <s v="291"/>
    <s v="Visita Domo de Ferro"/>
    <x v="1"/>
    <s v="DESC"/>
    <d v="2026-02-01T00:00:00"/>
    <s v="Monike Chaves"/>
    <s v="Finalizada"/>
    <x v="1"/>
    <s v=""/>
    <s v=""/>
    <s v=""/>
    <s v="SUL"/>
    <s v="Deodápolis"/>
    <s v="Prefeitura"/>
    <s v="Deodápolis"/>
    <s v="Agenda de Campo - Projeto Integrar"/>
    <d v="2026-05-18T00:00:00"/>
    <s v="1 - Creche João Pedro Pelegrini - Esta unidade ocupa atualmente 1/2 quarteirão, e segundo o Prefeito irão construir um Posto de Saúde. Eles alegam que atualmente o circuito já está apresentando constantes interrupções, e que na visão deles seria por problemas de sobrecarga.  _x000a_Definimos que a Prefeitura nos enviaria a carga atual da creche, e faremos uma análise com medição e levantamento em campo para identificação do atual problema. Neste levantamento já podemos checar qual será a melhor forma de atender a futura carga do posto de saúde que ficará nesta quadra. PENDENTE_x000a_2 - Alegaram que o prédio da Prefeitura também está com problemas de sobrecarga, geralmente percebido quando se liga o ar-condicionado. Com base na descrição do Sr. Orlindo, fica evidente se tratar de problema interno, pois ele cita que o disjuntor deles abre com frequência.  Solicitamos para que eles mapeiem a carga declarada da Prefeitura, e enviem para a Energisa avaliar a necessidade de melhoria na rede. Porém ficou esclarecido que não temos problemas em nossa rede.  PENDENTE_x000a_3 - Débito de IP: _x0009_O Prefeito e Assessor citaram sobre o &quot;susto&quot; que levaram após a comunicação da Energisa a respeito da cobrança de pontos de iluminação pública que não foram informados pela Prefeitura, e consequentemente não estavam cadastrados em nosso sistema. Eles citaram que não querem passar pelo mesmo problema e pediram nossa ajuda para apontar os locais onde estão fazendo a troca das lâmpadas. Informamos que esse levantamento não é de responsabilidade da Energisa, e que a própria Prefeitura deve realizar o levantamento e encaminhar para atualização da Energisa.  _x000a_Definimos que será agendada uma reunião com o técnico da Prefeitura para ensinarmos para ele como fazer o levantamento. (Diego Galego). PENDENTE_x000a_4 - Polo industrial: O Prefeito citou que estão criando um Pólo Industrial na cidade, e já possuem uma ideia do perfil de carga de quem irá se instalar por lá. _x0009_Informamos da importância da Prefeitura levantar a carga declarada para que a Energisa faça uma avaliação geral de demanda. Além disto, cada solicitante deverá entrar com seu pedido separadamente, gerando um processo de ligação para cada empresa instalada. PENDENTE_x000a_5 - Perguntaram da possiblidade de instalarmos mais lâmpadas de LED na cidade. Respondemos que esse processo é feito dentro das chamadas públicas de eficiência energética da ANEEL, e que para a Prefeitura necessita se inscrever na próxima janela que acontecerá no mês de setembro. INFORMAÇÃO_x000a_6 - Projeto Pontos Cegos (Iluminação Pública). Solicitaram recálculo dos orçamentos de rede (só não pagaram ano passado pois estavam com poucos recursos em caixa). _x000a_Pediram priorização das obras. Como elas ainda nem foram pagas, será necessária chegar uma ordem de priorização de desejo para a Prefeitura. (Levantar a relação de obras). PENDENTE_x000a_7 - Usina solar - ID 8453625 - Jean Carlos Silva Gomes. Prefeito cita que está tendo problemas para se fazer a injeção de potência e coletar os ganhos de sua GD, que pretende alugar para um Supermercado. _x0009__x0009__x0009_§ Identificamos que o problema nasceu por uma falta de seu projetista que não informou UC em seu projeto, e da Energisa de não devolver para que o cliente fizesse a correção. PENDENTE"/>
    <d v="2026-08-13T00:00:00"/>
    <m/>
    <m/>
    <m/>
    <m/>
    <s v="Monike Chaves"/>
    <s v="Gabriella Domingo"/>
    <s v="Prefeitura e Câmara: Prefeito Jean, Assessor Orlindo."/>
    <s v="Diego Souza Silva, Emerson Seixas Costa, Thiago de Alvarenga Balbio"/>
    <s v="Não"/>
    <s v="Visita Domo de Ferro"/>
    <d v="2026-09-03T00:00:00"/>
    <s v="Moacir Costa Neto"/>
    <d v="2026-08-13T00:00:00"/>
    <s v="Gabriella Amorim Domingo"/>
    <n v="100"/>
    <n v="100"/>
    <n v="100"/>
    <s v=""/>
    <m/>
    <s v=""/>
    <s v="NOVA ANDRADINA"/>
    <n v="232"/>
    <s v="&gt;50 dias"/>
    <s v="Dentro"/>
    <s v="Não risco"/>
    <s v="Sim"/>
    <n v="87"/>
  </r>
  <r>
    <s v="291"/>
    <s v="Visita Domo de Ferro"/>
    <x v="2"/>
    <s v="DCMD"/>
    <d v="2026-02-01T00:00:00"/>
    <s v="Monike Chaves"/>
    <s v="Finalizada"/>
    <x v="1"/>
    <s v="Prefeitura de Deodápolis"/>
    <s v=""/>
    <s v=""/>
    <s v="SUL"/>
    <s v="Deodápolis"/>
    <s v="Prefeitura"/>
    <s v="Deodápolis"/>
    <s v="Agenda de Campo - Projeto Integrar"/>
    <d v="2026-05-18T00:00:00"/>
    <s v="O conjunto DEODÁPOLIS teve uma melhoria de 16% no DEC global cheio percebido pela população."/>
    <m/>
    <m/>
    <m/>
    <m/>
    <m/>
    <s v="Diego Souza Silva"/>
    <s v=""/>
    <s v="Prefeitura e Câmara: Prefeito Jean, Assessor Orlindo."/>
    <s v="Diego Souza Silva, Emerson Seixas Costa, Thiago de Alvarenga Balbio"/>
    <s v="Não"/>
    <s v="Visita Domo de Ferro"/>
    <d v="2026-09-03T00:00:00"/>
    <s v="Moacir Costa Neto"/>
    <d v="2026-05-18T00:00:00"/>
    <s v="Danila Hertal Moreira Souza"/>
    <n v="100"/>
    <n v="100"/>
    <n v="50"/>
    <s v=""/>
    <m/>
    <s v=""/>
    <s v="NOVA ANDRADINA"/>
    <n v="232"/>
    <s v="&gt;50 dias"/>
    <s v="Dentro"/>
    <s v="Não risco"/>
    <s v="Sim"/>
    <n v="126"/>
  </r>
  <r>
    <s v="292"/>
    <s v="Visita Domo de Ferro"/>
    <x v="4"/>
    <s v="Central do Cliente"/>
    <d v="2026-02-10T00:00:00"/>
    <s v="Availdo Taveira de Oliveira"/>
    <s v="Finalizada"/>
    <x v="1"/>
    <s v=""/>
    <s v=""/>
    <s v=""/>
    <s v="CENTRO"/>
    <s v="Jaraguari"/>
    <s v="Prefeitura"/>
    <s v="Jaraguari"/>
    <s v="Agenda de Campo - Projeto Integrar._x000a__x000a_Card finalizado agenda em campo - Projeto Integrar - sem documentos em anexo e ou ações para direcionamentos."/>
    <d v="2026-08-04T00:00:00"/>
    <s v="Agenda de Campo - Projeto Integrar._x000a_Informação. Sem documentos em anexo e ou ações para direcionamentos."/>
    <d v="2026-08-04T00:00:00"/>
    <m/>
    <m/>
    <m/>
    <d v="2026-08-04T00:00:00"/>
    <s v="Wander Idalino Machado"/>
    <s v="Wander Machado"/>
    <s v="Sem informações"/>
    <s v="Alex Almeida Leite"/>
    <s v="Não"/>
    <s v="Visita Domo de Ferro"/>
    <d v="2026-09-03T00:00:00"/>
    <s v="Moacir Costa Neto"/>
    <d v="2026-08-04T00:00:00"/>
    <s v="Wander Idalino Machado"/>
    <n v="100"/>
    <n v="100"/>
    <n v="100"/>
    <s v=""/>
    <m/>
    <s v=""/>
    <s v="CAMPO GRANDE INTERIOR"/>
    <n v="223"/>
    <s v="&gt;50 dias"/>
    <s v="Dentro"/>
    <s v="Não risco"/>
    <s v="Sim"/>
    <n v="0"/>
  </r>
  <r>
    <s v="295"/>
    <s v="Visita Domo de Ferro"/>
    <x v="5"/>
    <s v="DCMD"/>
    <d v="2025-11-21T00:00:00"/>
    <s v="Giovani Moura Sousa"/>
    <s v="Finalizada"/>
    <x v="1"/>
    <s v=""/>
    <s v=""/>
    <s v=""/>
    <s v="CENTRO"/>
    <s v="Sidrolândia"/>
    <s v="Prefeitura"/>
    <s v="Sidrolândia"/>
    <s v="Manutenção e Poda de árvores. Poda de árvore no Assentamento Eldorado II"/>
    <d v="2026-05-18T00:00:00"/>
    <s v="Qual atualização dessa solicitação de poda?"/>
    <d v="2026-09-01T00:00:00"/>
    <s v="Para análise é necessário fornecer o número de unidade(s) consumidora(s) para que seja possível realizar a análise dos principais ofensores ao longo do circuito que atende os trechos impactados."/>
    <m/>
    <m/>
    <d v="2026-09-01T00:00:00"/>
    <s v="Evair Rogerio da Conceicao"/>
    <s v="Wander Machado"/>
    <m/>
    <s v="Giovani Moura Sousa"/>
    <s v="Não"/>
    <s v="Visita Domo de Ferro"/>
    <d v="2026-09-03T00:00:00"/>
    <s v="Moacir Costa Neto"/>
    <d v="2026-09-01T00:00:00"/>
    <s v="Wander Idalino Machado"/>
    <n v="100"/>
    <n v="100"/>
    <n v="100"/>
    <s v=""/>
    <m/>
    <s v=""/>
    <s v="CAMPO GRANDE INTERIOR"/>
    <n v="304"/>
    <s v="&gt;50 dias"/>
    <s v="Dentro"/>
    <s v="Não risco"/>
    <e v="#VALUE!"/>
    <n v="106"/>
  </r>
  <r>
    <s v="296"/>
    <s v="Visita Domo de Ferro"/>
    <x v="1"/>
    <s v="DCMD"/>
    <d v="2026-04-27T01:00:00"/>
    <s v="Giovani Moura Sousa"/>
    <s v="Finalizada"/>
    <x v="1"/>
    <s v=""/>
    <s v="3467507"/>
    <s v="0102502363"/>
    <s v="CENTRO"/>
    <s v="Ribas do Rio Pardo"/>
    <s v="Prefeitura"/>
    <s v="Ribas do Rio Pardo"/>
    <s v="Reunião Institucional. PE 4828224 - Conexão GD UC 3467507 // LIGAÇÃO PROGRAMADA PARA ATENDIMENTO 12/08. DUPLICADO COM O ID 148"/>
    <d v="2026-05-18T00:00:00"/>
    <s v="PE 4828224 - Conexão GD UC 3467507. Investimentos de ampliação de potência na subestação. Obra 0102502363. Aprovado pelo cliente 29/04. Pz 365 dias, data limite 29/04/2026. Tem programação da obra?"/>
    <d v="2026-07-15T00:00:00"/>
    <m/>
    <d v="2026-04-29T00:00:00"/>
    <d v="2026-07-13T00:00:00"/>
    <m/>
    <s v="Felipe Souza do Nascimento"/>
    <s v="Amanda Santos"/>
    <m/>
    <s v="Giovani Moura Sousa"/>
    <s v="Não"/>
    <s v="Visita Domo de Ferro"/>
    <d v="2026-09-03T00:00:00"/>
    <s v="Moacir Costa Neto"/>
    <d v="2026-07-15T00:00:00"/>
    <s v="Amanda Aparecida Teixeira dos Santos"/>
    <n v="100"/>
    <n v="100"/>
    <n v="100"/>
    <s v=""/>
    <m/>
    <s v=""/>
    <s v="CAMPO GRANDE INTERIOR"/>
    <n v="146.95833333333576"/>
    <s v="&gt;50 dias"/>
    <s v="Fora"/>
    <s v="Não risco"/>
    <e v="#VALUE!"/>
    <n v="58"/>
  </r>
  <r>
    <s v="296"/>
    <s v="Visita Domo de Ferro"/>
    <x v="1"/>
    <s v="DESC"/>
    <d v="2026-04-27T01:00:00"/>
    <s v="Giovani Moura Sousa"/>
    <s v="Finalizada"/>
    <x v="1"/>
    <s v=""/>
    <s v="3467507"/>
    <s v="0102502363"/>
    <s v="CENTRO"/>
    <s v="Ribas do Rio Pardo"/>
    <s v="Prefeitura"/>
    <s v="Ribas do Rio Pardo"/>
    <s v="Reunião Institucional. PE 4828224 - Conexão GD UC 3467507 // LIGAÇÃO PROGRAMADA PARA ATENDIMENTO 12/08. DUPLICADO COM O ID 148"/>
    <d v="2026-08-04T00:00:00"/>
    <s v="Obra: 010-25-02363 conclusão física._x000a_Por favor, verificar possibilidade de solicitar agilização no atendimento das ordens de serviço 554055369 (vistoriar padrão GA) e 554055365 (Ligação Nova com Instalação de Medidor GA)."/>
    <d v="2026-08-18T00:00:00"/>
    <m/>
    <m/>
    <m/>
    <d v="2026-08-18T00:00:00"/>
    <s v="Marcelly Arce Avalo Franca"/>
    <s v="Bruna Santos"/>
    <m/>
    <s v="Giovani Moura Sousa"/>
    <s v="Não"/>
    <s v="Visita Domo de Ferro"/>
    <d v="2026-09-03T00:00:00"/>
    <s v="Moacir Costa Neto"/>
    <d v="2026-08-18T00:00:00"/>
    <s v="Bruna Fabiana Braguin dos Santos"/>
    <n v="100"/>
    <n v="100"/>
    <n v="100"/>
    <s v=""/>
    <m/>
    <s v=""/>
    <s v="CAMPO GRANDE INTERIOR"/>
    <n v="146.95833333333576"/>
    <s v="&gt;50 dias"/>
    <s v="Dentro"/>
    <s v="Não risco"/>
    <e v="#VALUE!"/>
    <n v="14"/>
  </r>
  <r>
    <s v="297"/>
    <s v="Visita Domo de Ferro"/>
    <x v="4"/>
    <s v="ASPO"/>
    <d v="2025-11-21T00:00:00"/>
    <s v="Giovani Moura Sousa"/>
    <s v="Finalizada"/>
    <x v="1"/>
    <s v="Prefeitura de Nova Alvorada do Sul"/>
    <s v=""/>
    <s v=""/>
    <s v="SUL"/>
    <s v="Nova Alvorada do Sul"/>
    <s v="Prefeitura"/>
    <s v="Nova Alvorada do Sul"/>
    <s v="Reunião Institucional. Reunião realizada na prefeitura de Nova Alvorada do Sul"/>
    <d v="2026-05-18T00:00:00"/>
    <s v="Investimentos de ampliação de potência na subestação."/>
    <m/>
    <m/>
    <m/>
    <m/>
    <m/>
    <s v="Giovani Moura Sousa"/>
    <s v=""/>
    <m/>
    <s v="Giovani Moura Sousa"/>
    <s v="Não"/>
    <s v="Visita Domo de Ferro"/>
    <d v="2026-08-15T00:00:00"/>
    <s v="Moacir Costa Neto"/>
    <d v="2026-05-18T00:00:00"/>
    <s v="Danila Hertal Moreira Souza"/>
    <n v="100"/>
    <n v="100"/>
    <n v="50"/>
    <s v=""/>
    <m/>
    <s v=""/>
    <s v="RIO BRILHANTE"/>
    <n v="304"/>
    <s v="&gt;50 dias"/>
    <s v="Dentro"/>
    <s v="Não risco"/>
    <e v="#VALUE!"/>
    <n v="126"/>
  </r>
  <r>
    <s v="297"/>
    <s v="Visita Domo de Ferro"/>
    <x v="5"/>
    <s v="DCMD"/>
    <d v="2025-11-21T00:00:00"/>
    <s v="Giovani Moura Sousa"/>
    <s v="Finalizada"/>
    <x v="1"/>
    <s v=""/>
    <s v=""/>
    <s v=""/>
    <s v="SUL"/>
    <s v="Nova Alvorada do Sul"/>
    <s v="Prefeitura"/>
    <s v="Nova Alvorada do Sul"/>
    <s v="Reunião Institucional. Reunião realizada na prefeitura de Nova Alvorada do Sul"/>
    <d v="2026-05-18T00:00:00"/>
    <s v="Podas de árvores no trecho da BR 163 localizada entre Nova Alvorada do Sul e a Ponte seca."/>
    <d v="2026-09-01T00:00:00"/>
    <s v="Para que seja possível realizar os estudos e possíveis intervenções é necessário disponibilizar maiores informações, tais como, nº de unidade(s) consumidora(s)."/>
    <m/>
    <m/>
    <d v="2026-09-01T00:00:00"/>
    <s v="Evair Rogerio da Conceicao"/>
    <s v="Wander Machado"/>
    <m/>
    <s v="Giovani Moura Sousa"/>
    <s v="Não"/>
    <s v="Visita Domo de Ferro"/>
    <d v="2026-09-01T00:00:00"/>
    <s v="Wander Idalino Machado"/>
    <d v="2026-09-01T00:00:00"/>
    <s v="Wander Idalino Machado"/>
    <n v="100"/>
    <n v="100"/>
    <n v="100"/>
    <s v=""/>
    <m/>
    <s v=""/>
    <s v="RIO BRILHANTE"/>
    <n v="304"/>
    <s v="&gt;50 dias"/>
    <s v="Dentro"/>
    <s v="Não risco"/>
    <e v="#VALUE!"/>
    <n v="106"/>
  </r>
  <r>
    <s v="298"/>
    <s v="Visita Domo de Ferro"/>
    <x v="1"/>
    <s v="Central do Cliente"/>
    <d v="2025-11-21T00:00:00"/>
    <s v="Giovani Moura Sousa"/>
    <s v="Finalizada"/>
    <x v="1"/>
    <s v="Prefeitura de Inocência"/>
    <s v=""/>
    <s v=""/>
    <s v="CENTRO"/>
    <s v="Inocência"/>
    <s v="Prefeitura"/>
    <s v="Inocência"/>
    <s v="Reunião Institucional"/>
    <d v="2026-05-18T00:00:00"/>
    <s v="Indicação de transferência do colaborador Jeferson Paulista de Paranaíba para Inocência"/>
    <m/>
    <m/>
    <m/>
    <m/>
    <m/>
    <s v="Bruna Braga de Queiroz"/>
    <s v=""/>
    <m/>
    <s v="Giovani Moura Sousa"/>
    <s v="Não"/>
    <s v="Visita Domo de Ferro"/>
    <d v="2026-09-03T00:00:00"/>
    <s v="Moacir Costa Neto"/>
    <d v="2026-05-18T00:00:00"/>
    <s v="Danila Hertal Moreira Souza"/>
    <n v="100"/>
    <n v="100"/>
    <n v="50"/>
    <s v=""/>
    <m/>
    <s v=""/>
    <s v="PARANAIBA"/>
    <n v="304"/>
    <s v="&gt;50 dias"/>
    <s v="Dentro"/>
    <s v="Não risco"/>
    <e v="#VALUE!"/>
    <n v="126"/>
  </r>
  <r>
    <s v="298"/>
    <s v="Visita Domo de Ferro"/>
    <x v="1"/>
    <s v="DCMD"/>
    <d v="2025-11-21T00:00:00"/>
    <s v="Giovani Moura Sousa"/>
    <s v="Finalizada"/>
    <x v="1"/>
    <s v="Prefeitura de Inocência"/>
    <s v=""/>
    <s v=""/>
    <s v="CENTRO"/>
    <s v="Inocência"/>
    <s v="Prefeitura"/>
    <s v="Inocência"/>
    <s v="Reunião Institucional"/>
    <d v="2026-05-18T00:00:00"/>
    <s v="1 - Agilizar PE 9783825. STATUS:CONCLUIDO"/>
    <d v="2026-06-22T00:00:00"/>
    <m/>
    <d v="2026-03-31T00:00:00"/>
    <m/>
    <d v="2026-03-30T00:00:00"/>
    <s v="Bruna Victoria Rodrigues Ricardes"/>
    <s v="Rafaela Almeida"/>
    <m/>
    <s v="Giovani Moura Sousa"/>
    <s v="Não"/>
    <s v="Visita Domo de Ferro"/>
    <d v="2026-09-03T00:00:00"/>
    <s v="Moacir Costa Neto"/>
    <d v="2026-06-22T00:00:00"/>
    <s v="Rafaela Mattos de Almeida"/>
    <n v="100"/>
    <n v="100"/>
    <n v="100"/>
    <s v=""/>
    <m/>
    <s v=""/>
    <s v="PARANAIBA"/>
    <n v="304"/>
    <s v="&gt;50 dias"/>
    <s v="Dentro"/>
    <s v="Não risco"/>
    <e v="#VALUE!"/>
    <n v="35"/>
  </r>
  <r>
    <s v="298"/>
    <s v="Visita Domo de Ferro"/>
    <x v="1"/>
    <s v="DEOP"/>
    <d v="2025-11-21T00:00:00"/>
    <s v="Giovani Moura Sousa"/>
    <s v="Finalizada"/>
    <x v="2"/>
    <s v="Prefeitura de Inocência"/>
    <s v=""/>
    <s v=""/>
    <s v="CENTRO"/>
    <s v="Inocência"/>
    <s v="Prefeitura"/>
    <s v="Inocência"/>
    <s v="Reunião Institucional"/>
    <d v="2026-05-18T00:00:00"/>
    <s v="1 - Religamentos no município todo dia das 18 as 20hrs. STATUS: PENDENTE_x000a_2 - Quedas de energia na R: Pernambuco em frente ao Mercado M &amp; M, casa da vereadora Joceana. STATUS: PENDENTE_x000a_3 - Manutenção na rede que atende a UC 2496509. STATUS:_x000a_4 - Fabrica de gelo com oscilação e queima de equipamentos, trecho TD 734803."/>
    <m/>
    <m/>
    <m/>
    <m/>
    <m/>
    <s v="Luan Henrique Soares Diniz Afonso"/>
    <s v=""/>
    <m/>
    <s v="Giovani Moura Sousa"/>
    <s v="Não"/>
    <s v="Visita Domo de Ferro"/>
    <d v="2026-09-03T00:00:00"/>
    <s v="Moacir Costa Neto"/>
    <d v="2026-05-18T00:00:00"/>
    <s v="Danila Hertal Moreira Souza"/>
    <n v="100"/>
    <n v="100"/>
    <n v="50"/>
    <s v=""/>
    <m/>
    <s v=""/>
    <s v="PARANAIBA"/>
    <n v="304"/>
    <s v="&gt;50 dias"/>
    <s v="Dentro"/>
    <s v="Não risco"/>
    <e v="#VALUE!"/>
    <n v="126"/>
  </r>
  <r>
    <s v="299"/>
    <s v="Visita Domo de Ferro"/>
    <x v="2"/>
    <s v="DEOP"/>
    <d v="2025-11-21T00:00:00"/>
    <s v="Dian Cleiton de Brito"/>
    <s v="Finalizada"/>
    <x v="1"/>
    <s v=""/>
    <s v=""/>
    <s v=""/>
    <s v="CENTRO"/>
    <s v="Terenos"/>
    <s v="Prefeitura"/>
    <s v="Terenos"/>
    <s v="Reunião na prefeitura de Terenos."/>
    <d v="2026-05-18T00:00:00"/>
    <s v="1 - Faltas de Energia frequentes no Jd. América_x000a_2 - Oscilações e necessidade de aumento de carga no Assentamento Sta Mônica TD(24405) ENTF567312_x000a_3 - Oscilações e faltas de Energia no Assentamento 7 de Setembro e Ouro Branc"/>
    <d v="2026-08-18T00:00:00"/>
    <m/>
    <m/>
    <m/>
    <d v="2026-08-18T00:00:00"/>
    <s v="Luan Henrique Soares Diniz Afonso"/>
    <s v="Bruna Santos"/>
    <m/>
    <s v="Dian Cleiton de Brito"/>
    <s v="Não"/>
    <s v="Visita Domo de Ferro"/>
    <d v="2026-08-18T00:00:00"/>
    <s v="Bruna Fabiana Braguin dos Santos"/>
    <d v="2026-08-18T00:00:00"/>
    <s v="Bruna Fabiana Braguin dos Santos"/>
    <n v="100"/>
    <n v="100"/>
    <n v="100"/>
    <s v=""/>
    <m/>
    <s v=""/>
    <s v="CAMPO GRANDE INTERIOR"/>
    <n v="304"/>
    <s v="&gt;50 dias"/>
    <s v="Dentro"/>
    <s v="Não risco"/>
    <e v="#VALUE!"/>
    <n v="92"/>
  </r>
  <r>
    <s v="331"/>
    <s v="Visita Domo de Ferro"/>
    <x v="1"/>
    <s v="DCMD"/>
    <d v="2026-05-22T00:00:00"/>
    <s v="Dian Cleiton de Brito"/>
    <s v="Finalizada"/>
    <x v="1"/>
    <s v=""/>
    <s v=""/>
    <s v=""/>
    <s v="CENTRO"/>
    <s v="Campo Grande"/>
    <s v="Prefeitura"/>
    <s v="Campo Grande"/>
    <s v="ligação de Grupo A - UC LIGADA EM 07/08"/>
    <d v="2026-05-22T00:00:00"/>
    <s v="agilizar OS 877"/>
    <d v="2026-07-01T00:00:00"/>
    <s v="ORÇAMENTO ENVIADO AO CLIENTE DIA 12/06/2026. AGUARDANDO ACEITE"/>
    <m/>
    <m/>
    <m/>
    <s v="Bruna Victoria Rodrigues Ricardes"/>
    <s v="Mariana Nakada"/>
    <m/>
    <s v=""/>
    <s v="Não"/>
    <s v="Visita Domo de Ferro"/>
    <d v="2026-09-03T00:00:00"/>
    <s v="Moacir Costa Neto"/>
    <d v="2026-07-01T00:00:00"/>
    <s v="Mariana Kenu Shimizu Nakada"/>
    <n v="100"/>
    <n v="100"/>
    <n v="100"/>
    <s v=""/>
    <m/>
    <s v=""/>
    <s v="CAMPO GRANDE"/>
    <n v="122"/>
    <s v="&gt;50 dias"/>
    <s v="Dentro"/>
    <s v="Não risco"/>
    <e v="#VALUE!"/>
    <n v="40"/>
  </r>
  <r>
    <s v="331"/>
    <s v="Visita Domo de Ferro"/>
    <x v="1"/>
    <s v="DESC"/>
    <d v="2026-05-22T00:00:00"/>
    <s v="Dian Cleiton de Brito"/>
    <s v="Finalizada"/>
    <x v="1"/>
    <s v=""/>
    <s v=""/>
    <s v="0102601081"/>
    <s v="CENTRO"/>
    <s v="Campo Grande"/>
    <s v="Prefeitura"/>
    <s v="Campo Grande"/>
    <s v="ligação de Grupo A - UC LIGADA EM 07/08"/>
    <d v="2026-08-07T00:00:00"/>
    <s v="Ligação Grupo A._x000a_Identificado que a obra 0102601081 está concluída._x000a_Por favor verificar possibilidade de solicitar agilidade no atendimento das ordens de serviço 555612698 e 555612712 - vistoria e ligação Grupo A."/>
    <d v="2026-08-12T00:00:00"/>
    <s v="ESCOLA LIGADA DIA 07/08"/>
    <m/>
    <m/>
    <d v="2026-08-07T00:00:00"/>
    <s v="Marcelly Arce Avalo Franca"/>
    <s v="Bruna Santos"/>
    <m/>
    <s v=""/>
    <s v="Não"/>
    <s v="Visita Domo de Ferro"/>
    <d v="2026-09-03T00:00:00"/>
    <s v="Moacir Costa Neto"/>
    <d v="2026-08-12T00:00:00"/>
    <s v="Bruna Fabiana Braguin dos Santos"/>
    <n v="100"/>
    <n v="100"/>
    <n v="100"/>
    <s v=""/>
    <m/>
    <s v=""/>
    <s v="CAMPO GRANDE"/>
    <n v="122"/>
    <s v="&gt;50 dias"/>
    <s v="Dentro"/>
    <s v="Não risco"/>
    <e v="#VALUE!"/>
    <n v="5"/>
  </r>
  <r>
    <s v="332"/>
    <s v="Visita Domo de Ferro"/>
    <x v="3"/>
    <s v="DCMD"/>
    <d v="2026-02-27T00:00:00"/>
    <s v="Monike Chaves"/>
    <s v="Em Andamento"/>
    <x v="2"/>
    <s v="Prefeitura de Batayorã"/>
    <s v="197686"/>
    <s v=""/>
    <s v="SUL"/>
    <s v="Batayporã"/>
    <s v="Prefeitura"/>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9-08T00:00:00"/>
    <s v="Devido á analise da performance da qualidade do fornecimento para a região, e identificado os principais trechos ofensores da qualidade percebida pelo cliente, há necessidade de atuação da manutenção nos blocos abaixo: FR(17834), FR(17964), RD(745462), FU(18087),_x000a_FR(18051)."/>
    <m/>
    <m/>
    <m/>
    <m/>
    <m/>
    <s v="Evair Rogerio da Conceicao"/>
    <s v=""/>
    <s v="Prefeito _x000a_Vice Prefeito_x000a_Energisa_x000a_Secretário de Obras"/>
    <s v="Diego Souza Silva, Emerson Seixas Costa"/>
    <s v="Não"/>
    <s v="Visita Domo de Ferro"/>
    <d v="2026-09-08T00:00:00"/>
    <s v="Wander Idalino Machado"/>
    <d v="2026-09-08T00:00:00"/>
    <s v="Wander Idalino Machado"/>
    <n v="100"/>
    <n v="100"/>
    <n v="50"/>
    <s v="Manutenção e Poda"/>
    <m/>
    <s v="DCMD - PODA E MANUTENÇÃO"/>
    <s v="NOVA ANDRADINA"/>
    <n v="206"/>
    <s v="&gt;50 dias"/>
    <s v="Dentro"/>
    <s v="Não risco"/>
    <e v="#VALUE!"/>
    <n v="13"/>
  </r>
  <r>
    <s v="332"/>
    <s v="Visita Domo de Ferro"/>
    <x v="2"/>
    <s v="DCMD"/>
    <d v="2026-02-27T00:00:00"/>
    <s v="Monike Chaves"/>
    <s v="Em Andamento"/>
    <x v="2"/>
    <s v="Prefeitura de Batayorã"/>
    <s v="197686"/>
    <s v=""/>
    <s v="SUL"/>
    <s v="Batayporã"/>
    <s v="Prefeitura"/>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8-03T00:00:00"/>
    <s v="Devido á analise da performance da qualidade do fornecimento para a região, e identificado os principais trechos ofensores da qualidade percebida pelo cliente, há necessidade de atuação da manutenção nos blocos abaixo:_x000a_FR(17834)_x000a_FR(17964)_x000a_RD(745462)_x000a_FU(18087)_x000a_FR(18051)"/>
    <m/>
    <m/>
    <m/>
    <m/>
    <m/>
    <s v="Evair Rogerio da Conceicao"/>
    <s v=""/>
    <s v="Prefeito _x000a_Vice Prefeito_x000a_Energisa_x000a_Secretário de Obras"/>
    <s v="Diego Souza Silva, Emerson Seixas Costa"/>
    <s v="Não"/>
    <s v="Visita Domo de Ferro"/>
    <d v="2026-09-01T00:00:00"/>
    <s v="Moacir Costa Neto"/>
    <d v="2026-08-03T00:00:00"/>
    <s v="Wander Idalino Machado"/>
    <n v="100"/>
    <n v="100"/>
    <n v="50"/>
    <s v=""/>
    <m/>
    <s v=""/>
    <s v="NOVA ANDRADINA"/>
    <n v="206"/>
    <s v="&gt;50 dias"/>
    <s v="Dentro"/>
    <s v="Não risco"/>
    <e v="#VALUE!"/>
    <n v="49"/>
  </r>
  <r>
    <s v="332"/>
    <s v="Visita Domo de Ferro"/>
    <x v="2"/>
    <s v="DEOP"/>
    <d v="2026-02-27T00:00:00"/>
    <s v="Monike Chaves"/>
    <s v="Em Andamento"/>
    <x v="1"/>
    <s v="Prefeitura de Batayorã"/>
    <s v="197686"/>
    <s v=""/>
    <s v="SUL"/>
    <s v="Batayporã"/>
    <s v="Prefeitura"/>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6-02T00:00:00"/>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6-18T00:00:00"/>
    <s v="=&gt; Devido á analise da performance da qualidade do fornecimento para a região, e identificado os principais trechos ofensores da qualidade percebida pelo cliente, há necessidade de atuação da manutenção nos blocos abaixo:_x000a_FR(17834)_x000a_FR(17964)_x000a_RD(745462)_x000a_FU(18087)_x000a_FR(18051)"/>
    <m/>
    <m/>
    <m/>
    <s v="Gerson Mendes Ortiz"/>
    <s v="Gerson Ortiz"/>
    <s v="Prefeito _x000a_Vice Prefeito_x000a_Energisa_x000a_Secretário de Obras"/>
    <s v="Diego Souza Silva, Emerson Seixas Costa"/>
    <s v="Não"/>
    <s v="Visita Domo de Ferro"/>
    <d v="2026-09-01T00:00:00"/>
    <s v="Moacir Costa Neto"/>
    <d v="2026-06-18T00:00:00"/>
    <s v="Gerson Mendes Ortiz"/>
    <n v="100"/>
    <n v="100"/>
    <n v="94"/>
    <s v=""/>
    <m/>
    <s v=""/>
    <s v="NOVA ANDRADINA"/>
    <n v="206"/>
    <s v="&gt;50 dias"/>
    <s v="Dentro"/>
    <s v="Não risco"/>
    <e v="#VALUE!"/>
    <n v="16"/>
  </r>
  <r>
    <s v="332"/>
    <s v="Visita Domo de Ferro"/>
    <x v="2"/>
    <s v="Vazio"/>
    <d v="2026-02-27T00:00:00"/>
    <s v="Monike Chaves"/>
    <s v="Em Andamento"/>
    <x v="1"/>
    <s v=""/>
    <s v="197686"/>
    <s v=""/>
    <s v="SUL"/>
    <s v="Batayporã"/>
    <s v="Prefeitura"/>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8-03T00:00:00"/>
    <m/>
    <d v="2026-08-28T00:00:00"/>
    <s v="Sem informações."/>
    <m/>
    <m/>
    <d v="2026-08-28T00:00:00"/>
    <s v="Vazio"/>
    <s v="Wander Machado"/>
    <s v="Prefeito _x000a_Vice Prefeito_x000a_Energisa_x000a_Secretário de Obras"/>
    <s v="Diego Souza Silva, Emerson Seixas Costa"/>
    <s v="Não"/>
    <s v="Visita Domo de Ferro"/>
    <d v="2026-09-01T00:00:00"/>
    <s v="Moacir Costa Neto"/>
    <d v="2026-08-28T00:00:00"/>
    <s v="Wander Idalino Machado"/>
    <n v="100"/>
    <n v="100"/>
    <n v="100"/>
    <s v=""/>
    <m/>
    <s v=""/>
    <s v="NOVA ANDRADINA"/>
    <n v="206"/>
    <s v="&gt;50 dias"/>
    <s v="Dentro"/>
    <s v="Não risco"/>
    <e v="#VALUE!"/>
    <n v="25"/>
  </r>
  <r>
    <s v="333"/>
    <s v="Visita Domo de Ferro"/>
    <x v="4"/>
    <s v="DESC"/>
    <d v="2026-02-25T00:00:00"/>
    <s v="Monike Chaves"/>
    <s v="Finalizada"/>
    <x v="1"/>
    <s v="Prefeitura de Taquarussu"/>
    <s v="264979"/>
    <s v=""/>
    <s v=""/>
    <s v=""/>
    <s v="Prefeitura"/>
    <s v=""/>
    <s v="Prefeito informou que tem um bom relacionamento, que sempre está sendo informado sobre as quedas de energia, que muitas vezes ele nem no municipio está, mas é informado e vê que a comunicação está mais fluída. _x000a_Falamos sobre podas no municipio e convenio, sobre palmeiras imperial plantada perto a nossa rede, o qual no final de semana culminou a falta de energia do municpio. _x000a_Ele cometou sobre a extensão de IP e o portal que está fazendo no municipio. E que iria protocolar o pedido de relocação e extensão."/>
    <d v="2026-06-02T00:00:00"/>
    <s v="Prefeito informou que tem um bom relacionamento, que sempre está sendo informado sobre as quedas de energia, que muitas vezes ele nem no municipio está, mas é informado e vê que a comunicação está mais fluída. _x000a_Falamos sobre podas no municipio e convenio, sobre palmeiras imperial plantada perto a nossa rede, o qual no final de semana culminou a falta de energia do municpio. _x000a_Ele cometou sobre a extensão de IP e o portal que está fazendo no municipio. E que iria protocolar o pedido de relocação e extensão."/>
    <m/>
    <m/>
    <m/>
    <m/>
    <m/>
    <s v="Monike Chaves"/>
    <s v=""/>
    <s v="Prefeito_x000a_Secretário _x000a_Energisa"/>
    <s v="Diego Souza Silva, Emerson Seixas Costa"/>
    <s v="Não"/>
    <s v="Visita Domo de Ferro"/>
    <d v="2026-08-15T00:00:00"/>
    <s v="Moacir Costa Neto"/>
    <d v="2026-06-02T00:00:00"/>
    <s v="Danila Hertal Moreira Souza"/>
    <n v="100"/>
    <n v="100"/>
    <n v="50"/>
    <s v=""/>
    <m/>
    <s v=""/>
    <e v="#N/A"/>
    <n v="208"/>
    <s v="&gt;50 dias"/>
    <s v="Dentro"/>
    <s v="Não risco"/>
    <e v="#VALUE!"/>
    <n v="111"/>
  </r>
  <r>
    <s v="452"/>
    <s v="Visita Domo de Ferro"/>
    <x v="2"/>
    <s v="DCMD"/>
    <d v="2025-12-03T00:00:00"/>
    <s v="Giovani Moura Sousa"/>
    <s v="Finalizada"/>
    <x v="1"/>
    <s v=""/>
    <s v=""/>
    <s v=""/>
    <s v="SUL"/>
    <s v="Dourados"/>
    <s v="Câmara"/>
    <s v="Dourados"/>
    <s v="Origem Externa: Câmara Municipal de Dourados_x000a_Nome do Solicitante: Vereadora Isa Jane Marcondes_x000a_Número Ofício: 493/2025_x000a_OS: 482491329_x000a_Manifestação: Ofício relata as constantes quedas de energia nos bairros: Quarto Plano, Cachoeirinha, Cohab II, Sitioca Campina Verde, Campo Dourado e Campo Belo._x000a_Segue ofício em anexo._x000a__x000a_Domo de ferro: Foi realizado a visita in loco pelo Giovani no qual coletou as demandas relacionadas a qualidade no fornecimento: Frequentes quedas de energia nos condomínios: Porto seguro e_x000a_Porto Nique; ecoVile 1 e 2, Frequentes quedas de energia no Distrito Vila Macaúba e Frequentes quedas de energia nos bairros Quarto Plano e Água_x000a_Boa."/>
    <d v="2026-06-05T00:00:00"/>
    <s v="Origem Externa: Câmara Municipal de Dourados_x000a_Nome do Solicitante: Vereadora Isa Jane Marcondes_x000a_Número Ofício: 493/2025_x000a_OS: 482491329_x000a_Manifestação: Ofício relata as constantes quedas de energia nos bairros: Quarto Plano, Cachoeirinha, Cohab II, Sitioca Campina Verde, Campo Dourado e Campo Belo._x000a_Segue ofício em anexo._x000a__x000a_Domo de ferro: Foi realizado a visita in loco pelo Giovani no qual coletou as demandas relacionadas a qualidade no fornecimento: Frequentes quedas de energia nos condomínios: Porto seguro e_x000a_Porto Nique; ecoVile 1 e 2, Frequentes quedas de energia no Distrito Vila Macaúba e Frequentes quedas de energia nos bairros Quarto Plano e Água_x000a_Boa."/>
    <d v="2026-08-18T00:00:00"/>
    <s v="OFICIO RESPONDIDO EM 05/01"/>
    <m/>
    <m/>
    <m/>
    <s v="Volmar Junior Silva Vida"/>
    <s v="Bruna Santos"/>
    <m/>
    <s v="Giovani Moura Sousa"/>
    <s v="Não"/>
    <s v="Visita Domo de Ferro"/>
    <d v="2026-08-18T00:00:00"/>
    <s v="Bruna Fabiana Braguin dos Santos"/>
    <d v="2026-08-18T00:00:00"/>
    <s v="Bruna Fabiana Braguin dos Santos"/>
    <n v="25"/>
    <n v="25"/>
    <n v="25"/>
    <s v=""/>
    <m/>
    <s v=""/>
    <s v="DOURADOS"/>
    <n v="292"/>
    <s v="&gt;50 dias"/>
    <s v="Dentro"/>
    <s v="Não risco"/>
    <e v="#VALUE!"/>
    <n v="74"/>
  </r>
  <r>
    <s v="453"/>
    <s v="Visita Domo de Ferro"/>
    <x v="2"/>
    <s v="DCMD"/>
    <d v="2025-11-19T00:00:00"/>
    <s v="Dian Cleiton de Brito"/>
    <s v="Finalizada"/>
    <x v="1"/>
    <s v=""/>
    <s v=""/>
    <s v=""/>
    <s v="CENTRO"/>
    <s v="Terenos"/>
    <s v="Câmara"/>
    <s v="Terenos"/>
    <s v="Origem Externa: Câmara Terenos/MS_x000a__x000a_Nome do Solicitante: José da Silva Cipriano_x000a__x000a_Número Ofício: 177/2025_x000a__x000a_OS: 482139947_x000a__x000a_Manifestação: Ofíco que trata das interrupções de energia e medidas necessárias para um fornecimento de energia regular e de qualidade na zona rural._x000a__x000a_Segue ofício em anexo._x000a__x000a_Domo de ferro: Foi realizado visita in loco pelo Dian e foi levantado as seguintes informações relacionadas a qualidade: Faltas de Energia frequentes no Jd. América, Oscilações e faltas de Energia no Assentamento 7 de Setembro_x000a_e Ouro Branco e Oscilações e necessidade de aumento de carga no Assentamento_x000a_Sta Mônica TD(24405) ENTF567312."/>
    <d v="2026-06-05T00:00:00"/>
    <s v="Status atual: Em atuação campo (DEOP/DCMD)_x000a_Origem Externa: Câmara Terenos/MS_x000a__x000a_Nome do Solicitante: José da Silva Cipriano_x000a__x000a_Número Ofício: 177/2025_x000a__x000a_OS: 482139947_x000a__x000a_Manifestação: Ofíco que trata das interrupções de energia e medidas necessárias para um fornecimento de energia regular e de qualidade na zona rural._x000a__x000a_Segue ofício em anexo._x000a__x000a_Domo de ferro: Foi realizado visita in loco pelo Dian e foi levantado as seguintes informações relacionadas a qualidade: Faltas de Energia frequentes no Jd. América, Oscilações e faltas de Energia no Assentamento 7 de Setembro_x000a_e Ouro Branco e Oscilações e necessidade de aumento de carga no Assentamento_x000a_Sta Mônica TD(24405) ENTF567312."/>
    <d v="2026-08-18T00:00:00"/>
    <m/>
    <m/>
    <m/>
    <m/>
    <s v="Volmar Junior Silva Vida"/>
    <s v="Bruna Santos"/>
    <m/>
    <s v="Dian Cleiton de Brito"/>
    <s v="Não"/>
    <s v="Visita Domo de Ferro"/>
    <d v="2026-08-18T00:00:00"/>
    <s v="Bruna Fabiana Braguin dos Santos"/>
    <d v="2026-08-18T00:00:00"/>
    <s v="Bruna Fabiana Braguin dos Santos"/>
    <n v="25"/>
    <n v="25"/>
    <n v="25"/>
    <s v=""/>
    <m/>
    <s v=""/>
    <s v="CAMPO GRANDE INTERIOR"/>
    <n v="306"/>
    <s v="&gt;50 dias"/>
    <s v="Dentro"/>
    <s v="Não risco"/>
    <e v="#VALUE!"/>
    <n v="74"/>
  </r>
  <r>
    <s v="56"/>
    <s v="Visita Domo de Ferro"/>
    <x v="1"/>
    <s v="DESC"/>
    <d v="2026-04-23T00:00:00"/>
    <s v="Aline da Silva Mesquita"/>
    <s v="Finalizada"/>
    <x v="0"/>
    <s v="Vandereli Oliveira Domingos"/>
    <s v="2476949"/>
    <s v=""/>
    <s v="SUL"/>
    <s v="Amambai"/>
    <s v="Câmara"/>
    <s v="Amambai"/>
    <s v="Vereadores pedem apoio com a obra para atendimento ao aumento de carga da UC 2486949, horta hidropônica de grande porte da região._x000a_apresentado o Ofício 094/2026"/>
    <d v="2026-05-12T00:00:00"/>
    <s v="Gentileza verificar conforme ofício como está o andamento da solicitação do aumento de carga. Pois na UC 2486949 informada não foi localizada solicitação de aumento de carga."/>
    <d v="2026-06-12T00:00:00"/>
    <m/>
    <m/>
    <m/>
    <m/>
    <s v="Jessika da Silva Arruda de Paula"/>
    <s v="Aline Mesquita"/>
    <s v="Vereador Darci Jose da Silva_x000a_Vereador Jota Roberto_x000a_Vereador Suzana Ulisses_x000a_Joao Pedro (Projetista)_x000a_Vandereli Oliveira Domingos (Cliente"/>
    <s v="Monike Chaves"/>
    <s v="Não"/>
    <s v="Visita Domo de Ferro"/>
    <d v="2026-09-03T00:00:00"/>
    <s v="Moacir Costa Neto"/>
    <d v="2026-06-12T00:00:00"/>
    <s v="Aline da Silva Mesquita"/>
    <n v="25"/>
    <n v="25"/>
    <n v="12.5"/>
    <s v=""/>
    <m/>
    <s v=""/>
    <s v="PONTA PORA"/>
    <n v="151"/>
    <s v="&gt;50 dias"/>
    <s v="Dentro"/>
    <s v="Não risco"/>
    <e v="#VALUE!"/>
    <n v="31"/>
  </r>
  <r>
    <s v="566"/>
    <s v="Visita Domo de Ferro"/>
    <x v="0"/>
    <s v="DCMD"/>
    <d v="2026-06-11T00:00:00"/>
    <s v="Monike Chaves"/>
    <s v="Finalizada"/>
    <x v="0"/>
    <s v=""/>
    <s v=""/>
    <s v="0102503007"/>
    <s v="CENTRO"/>
    <s v="Sidrolândia"/>
    <s v="Prefeitura"/>
    <s v="Sidrolândia"/>
    <s v="Obra: 0102503007 com prazo de 120 dias ano 2025 sem conclusão, Prefeitura entrou em contato pois já teve obito no local e precisa ser resolvido com urgência. Agradeço a informação do novo prazo, expectativa do cliente que seja dentro do mês de Junho. _x000a__x000a_Demanda gerada em duplicidade com o ID 968 - Ação 2474."/>
    <d v="2026-06-16T00:00:00"/>
    <s v="Obra: 0102503007 com prazo de 120 dias ano 2025 sem conclusão, Prefeitura entrou em contato pois já teve obito no local e precisa ser resolvido com urgência. Agradeço a informação do novo prazo, expectativa do cliente que seja dentro do mês de Junho._x000a__x000a_AMANDA, QUAL PROGRAMAÇÃO DA OBRA?"/>
    <d v="2026-09-09T00:00:00"/>
    <m/>
    <d v="2026-06-30T00:00:00"/>
    <d v="2026-09-15T00:00:00"/>
    <m/>
    <s v="Amanda Aparecida Teixeira dos Santos"/>
    <s v="Amanda Santos"/>
    <s v="Secretario de Obras"/>
    <s v="Monike Chaves"/>
    <s v="Não"/>
    <s v="Visita Domo de Ferro"/>
    <d v="2026-09-09T00:00:00"/>
    <s v="Amanda Aparecida Teixeira dos Santos"/>
    <d v="2026-09-09T00:00:00"/>
    <s v="Amanda Aparecida Teixeira dos Santos"/>
    <n v="100"/>
    <n v="100"/>
    <n v="100"/>
    <s v=""/>
    <m/>
    <s v=""/>
    <s v="CAMPO GRANDE INTERIOR"/>
    <n v="102"/>
    <s v="&gt;50 dias"/>
    <s v="Fora"/>
    <s v="Não risco"/>
    <e v="#VALUE!"/>
    <n v="85"/>
  </r>
  <r>
    <s v="567"/>
    <s v="Visita Domo de Ferro"/>
    <x v="4"/>
    <s v="DESC"/>
    <d v="2026-06-11T00:00:00"/>
    <s v="Giovani Moura Sousa"/>
    <s v="Finalizada"/>
    <x v="3"/>
    <s v="Prefeitura"/>
    <s v=""/>
    <s v=""/>
    <s v="CENTRO"/>
    <s v="Ribas do Rio Pardo"/>
    <s v="Prefeitura"/>
    <s v="Ribas do Rio Pardo"/>
    <s v="Prefeito solicitou a retirada de postes que estão fora do projeto de execução do calçamento em área urbana de Ribas do Rio Pardo._x000a__x000a_Centrl do Cliente (12/08/2026): Card concluído devido insuficiência de informações para abertura de ações (nº de obra ou número da ordem de serviço)."/>
    <d v="2026-06-16T00:00:00"/>
    <s v="Prefeito solicitou a retirada de postes que estão fora do projeto de execução do calçamento em área urbana de Ribas do Rio Pardo. Giovai qual o protocolo? ou ordem de serviço? ou ofício para que possamos identificar a solicitação?"/>
    <m/>
    <m/>
    <m/>
    <m/>
    <m/>
    <s v="Giovani Moura Sousa"/>
    <s v=""/>
    <s v="Prefeito Roberson_x000a_Bartolomeu Engenheiro refeitura_x000a_Giovani Moura - Energisa_x000a_Gustavo - DCMD Energisa"/>
    <s v="Giovani Moura Sousa"/>
    <s v="Não"/>
    <s v="Visita Domo de Ferro"/>
    <d v="2026-09-03T00:00:00"/>
    <s v="Moacir Costa Neto"/>
    <d v="2026-06-16T00:00:00"/>
    <s v="Danila Hertal Moreira Souza"/>
    <n v="100"/>
    <n v="100"/>
    <n v="50"/>
    <s v=""/>
    <m/>
    <s v=""/>
    <s v="CAMPO GRANDE INTERIOR"/>
    <n v="102"/>
    <s v="&gt;50 dias"/>
    <s v="Dentro"/>
    <s v="Não risco"/>
    <e v="#VALUE!"/>
    <n v="97"/>
  </r>
  <r>
    <s v="567"/>
    <s v="Visita Domo de Ferro"/>
    <x v="0"/>
    <s v="DESC"/>
    <d v="2026-06-11T00:00:00"/>
    <s v="Giovani Moura Sousa"/>
    <s v="Finalizada"/>
    <x v="1"/>
    <s v=""/>
    <s v=""/>
    <s v=""/>
    <s v="CENTRO"/>
    <s v="Ribas do Rio Pardo"/>
    <s v="Prefeitura"/>
    <s v="Ribas do Rio Pardo"/>
    <s v="Prefeito solicitou a retirada de postes que estão fora do projeto de execução do calçamento em área urbana de Ribas do Rio Pardo._x000a__x000a_Centrl do Cliente (12/08/2026): Card concluído devido insuficiência de informações para abertura de ações (nº de obra ou número da ordem de serviço)."/>
    <d v="2026-06-25T00:00:00"/>
    <s v="Prefeito solicitou a retirada de postes que estão fora do projeto de execução do calçamento em área urbana de Ribas do Rio Pardo. Giovai qual o protocolo? ou ordem de serviço? ou ofício para que possamos identificar a solicitação? Ação foi devolvida, gentileza informar o motivo para que a central realiza as ações devidas."/>
    <d v="2026-08-12T00:00:00"/>
    <s v="Card concluído devido insuficiência de informações (nº de obra ou número da ordem de serviço)."/>
    <d v="2026-07-27T00:00:00"/>
    <m/>
    <d v="2026-08-12T00:00:00"/>
    <s v="Giovani Moura Sousa"/>
    <s v="Wander Machado"/>
    <s v="Prefeito Roberson_x000a_Bartolomeu Engenheiro refeitura_x000a_Giovani Moura - Energisa_x000a_Gustavo - DCMD Energisa"/>
    <s v="Giovani Moura Sousa"/>
    <s v="Não"/>
    <s v="Visita Domo de Ferro"/>
    <d v="2026-09-03T00:00:00"/>
    <s v="Moacir Costa Neto"/>
    <d v="2026-08-12T00:00:00"/>
    <s v="Wander Idalino Machado"/>
    <n v="100"/>
    <n v="100"/>
    <n v="100"/>
    <s v=""/>
    <m/>
    <s v=""/>
    <s v="CAMPO GRANDE INTERIOR"/>
    <n v="102"/>
    <s v="&gt;50 dias"/>
    <s v="Fora"/>
    <s v="Não risco"/>
    <e v="#VALUE!"/>
    <n v="48"/>
  </r>
  <r>
    <s v="622"/>
    <s v="Visita Domo de Ferro"/>
    <x v="4"/>
    <s v="Central do Cliente"/>
    <d v="2026-06-16T00:00:00"/>
    <s v="Dian Cleiton de Brito"/>
    <s v="Finalizada"/>
    <x v="1"/>
    <s v=""/>
    <s v=""/>
    <s v="0202600657"/>
    <s v="SUL"/>
    <s v="Maracaju"/>
    <s v="Câmara"/>
    <s v="Maracaju"/>
    <s v="várias demandas do município de Maracajú._x000a__x000a_Central do cliente (07/08/2026). Em análise foi identificado que a obra 0202600657 está concluída. Conforme ordem de serviço 547531837 ligação executada em 07/07/2026 dando origem a unidade consumidora 3859270."/>
    <d v="2026-08-07T00:00:00"/>
    <s v="Em análise foi identificado que a obra 0202600657 está concluída. Conforme ordem de serviço 547531837 ligação executada em 07/07/2026 dando origem a unidade consumidora 3859270."/>
    <d v="2026-08-07T00:00:00"/>
    <m/>
    <m/>
    <m/>
    <d v="2026-08-07T00:00:00"/>
    <s v="Wander Idalino Machado"/>
    <s v="Wander Machado"/>
    <s v="Catito vereador de MS_x000a_Franciele"/>
    <s v=""/>
    <s v="Não"/>
    <s v="Visita Institucional"/>
    <d v="2026-09-03T00:00:00"/>
    <s v="Moacir Costa Neto"/>
    <d v="2026-08-07T00:00:00"/>
    <s v="Wander Idalino Machado"/>
    <n v="25"/>
    <n v="25"/>
    <n v="25"/>
    <s v=""/>
    <m/>
    <s v=""/>
    <s v="RIO BRILHANTE"/>
    <n v="97"/>
    <s v="&gt;50 dias"/>
    <s v="Dentro"/>
    <s v="Não risco"/>
    <e v="#VALUE!"/>
    <n v="0"/>
  </r>
  <r>
    <s v="622"/>
    <s v="Visita Domo de Ferro"/>
    <x v="0"/>
    <s v="DCMD"/>
    <d v="2026-06-16T00:00:00"/>
    <s v="Dian Cleiton de Brito"/>
    <s v="Finalizada"/>
    <x v="1"/>
    <s v=""/>
    <s v=""/>
    <s v=""/>
    <s v="SUL"/>
    <s v="Maracaju"/>
    <s v="Câmara"/>
    <s v="Maracaju"/>
    <s v="várias demandas do município de Maracajú._x000a__x000a_Central do cliente (07/08/2026). Em análise foi identificado que a obra 0202600657 está concluída. Conforme ordem de serviço 547531837 ligação executada em 07/07/2026 dando origem a unidade consumidora 3859270."/>
    <d v="2026-06-19T00:00:00"/>
    <s v="Origem Externa: Vereador Catito_x000a_Origem Interna: DPres. Paulo_x000a_Obra: 0202600657- Kairos Participações _x000a_Fazenda Monte Cristo"/>
    <d v="2026-07-24T00:00:00"/>
    <m/>
    <d v="2027-04-22T00:00:00"/>
    <d v="2026-06-30T00:00:00"/>
    <d v="2026-06-30T00:00:00"/>
    <s v="Felipe Souza do Nascimento"/>
    <s v="Rafaela Almeida"/>
    <s v="Catito vereador de MS_x000a_Franciele"/>
    <s v=""/>
    <s v="Não"/>
    <s v="Visita Domo de Ferro"/>
    <d v="2026-09-03T00:00:00"/>
    <s v="Moacir Costa Neto"/>
    <d v="2026-07-24T00:00:00"/>
    <s v="Rafaela Mattos de Almeida"/>
    <n v="25"/>
    <n v="25"/>
    <n v="25"/>
    <s v=""/>
    <m/>
    <s v=""/>
    <s v="RIO BRILHANTE"/>
    <n v="97"/>
    <s v="&gt;50 dias"/>
    <s v="Dentro"/>
    <s v="Risco"/>
    <e v="#VALUE!"/>
    <n v="35"/>
  </r>
  <r>
    <s v="641"/>
    <s v="Visita Domo de Ferro"/>
    <x v="1"/>
    <s v="DCMD"/>
    <d v="2026-06-08T00:00:00"/>
    <s v="Aline da Silva Mesquita"/>
    <s v="Finalizada"/>
    <x v="1"/>
    <s v=""/>
    <s v=""/>
    <s v=""/>
    <s v="SUL"/>
    <s v="Ponta Porã"/>
    <s v="Prefeitura"/>
    <s v="Ponta Porã"/>
    <s v="Foi realizada reunião presencial na Prefeitura Municipal com o objetivo de estreitar o relacionamento institucional e compreender o contexto do requerimento de abertura de Comissão Parlamentar de Inquérito (CPI), proposto pela Câmara Municipal, relacionado à prestação dos serviços de distribuição de energia elétrica na região._x000a__x000a_Durante o encontro, o Prefeito relatou algumas dificuldades de contato com a Energisa. Em resposta, Guilherme Paraná reforçou o compromisso da empresa com a qualidade dos serviços prestados, destacando que a Energisa mantém canais permanentes de diálogo com os poderes públicos e permanece à disposição para avaliar e atuar nos casos que forem formalmente sinalizados._x000a__x000a_Também foram abordados temas relacionados à renovação da concessão da distribuidora e aos indicadores de desempenho da região, os quais se encontram em conformidade com os critérios e limites regulatórios estabelecidos pela ANEEL. Foi ressaltado, ainda, que eventuais ocorrências específicas poderão ser encaminhadas para análise e adoção das providências cabíveis._x000a__x000a_Aline reforçou os canais de relacionamento disponíveis à Prefeitura, destacando que Monike atua como agente de relacionamento institucional e que as demandas municipais são acompanhadas/tratadas com o Servidor Theo. _x000a__x000a_Também foi reforçada a importância da formalização do Termo de Cooperação para Poda e Manejo da Vegetação._x000a__x000a_Ao final da reunião, o Prefeito apresentou as seguintes demandas para acompanhamento e encaminhamento:_x000a__x000a_• Obra de atendimento ao loteamento – PE 0810626;_x000a_• Esclarecimentos sobre a atualização do parque de iluminação pública;_x000a_• Relocação de poste para viabilização de obra de pavimentação executada pelo Governo do Estado, no âmbito do programa MS Ativo._x000a__x000a__x000a_OS FINALIZADA COM A INFORMAÇÃO QUE NÃO PRECISA DE OBRA."/>
    <d v="2026-06-18T00:00:00"/>
    <s v="Obra de atendimento ao loteamento – PE 0810626; Gerado a OS 540343070 de orçamento, gentileza priorizar."/>
    <d v="2026-07-01T00:00:00"/>
    <s v="SEM NECESSIDADE DE OBRA."/>
    <m/>
    <m/>
    <m/>
    <s v="Bruna Victoria Rodrigues Ricardes"/>
    <s v="Mariana Nakada"/>
    <s v="Joanilson Zeferino dos Santos - Secretário de Obras e Urbanismo_x000a_Eduardo Esgaib Campos - Prefeito_x000a_Wilian Maksud"/>
    <s v="Guilherme Antonio Schio Parana"/>
    <s v="Não"/>
    <s v="Visita Domo de Ferro"/>
    <d v="2026-09-03T00:00:00"/>
    <s v="Moacir Costa Neto"/>
    <d v="2026-07-01T00:00:00"/>
    <s v="Mariana Kenu Shimizu Nakada"/>
    <n v="100"/>
    <n v="100"/>
    <n v="100"/>
    <s v=""/>
    <m/>
    <s v=""/>
    <s v="PONTA PORA"/>
    <n v="105"/>
    <s v="&gt;50 dias"/>
    <s v="Dentro"/>
    <s v="Não risco"/>
    <e v="#VALUE!"/>
    <n v="13"/>
  </r>
  <r>
    <s v="643"/>
    <s v="Visita Domo de Ferro"/>
    <x v="1"/>
    <s v="DESC"/>
    <d v="2026-06-17T00:00:00"/>
    <s v="Aline da Silva Mesquita"/>
    <s v="Finalizada"/>
    <x v="1"/>
    <s v=""/>
    <s v=""/>
    <s v=""/>
    <s v="SUL"/>
    <s v="Ponta Porã"/>
    <s v="Câmara"/>
    <s v="Ponta Porã"/>
    <s v="Foi realizada reunião presencial na Energisa com o Vereador, ocasião em que foram apresentados os principais resultados e indicadores operacionais da região de Ponta Porã, bem como o plano de manutenção da distribuidora, os investimentos realizados e previstos, as ações recentes de poda e manutenção executadas em 28 bairros do município e o plano de contingência adotado pela concessionária._x000a__x000a_Durante o encontro, o vereador relatou demandas apresentadas por moradores do Assentamento Itamarati e do Residencial Kamel Saad, especialmente relacionadas ao valor das faturas de energia elétrica. Em resposta, foi esclarecido que consumidores que atendam aos critérios estabelecidos pelo Governo Federal podem ser beneficiados pelo Programa Tarifa Social de Energia Elétrica. Nesse sentido, foi reforçada a importância da atualização cadastral junto ao CRAS para manutenção e acesso ao benefício._x000a__x000a_Também foi abordada a necessidade de intensificar as ações de poda e manejo da vegetação, destacando-se a importância da parceria entre a Energisa e o Poder Público Municipal para a execução dessas atividades de forma coordenada._x000a__x000a_Adicionalmente, foram reforçados os canais de comunicação e relacionamento da empresa, bem como a disponibilidade da Energisa para analisar e tratar demandas específicas relacionadas às localidades mencionadas._x000a__x000a_Como encaminhamentos da reunião, ficaram definidos os seguintes pontos:_x000a__x000a_• Agendar reunião presencial na Câmara Municipal para apresentação do Supervisor Regional, do Coordenador responsável pela área e do Agente de Relacionamento Institucional;_x000a__x000a_• Avaliar e programar a realização de ação com o Caminhão da Eficiência Energética no Assentamento Itamarati e no Residencial Kamel Saad, contemplando atividades de cadastro e atualização da Tarifa Social, negociação de débitos, orientações sobre consumo consciente de energia e sorteio de geladeiras para consumidores elegíveis."/>
    <d v="2026-08-18T00:00:00"/>
    <s v="• Agendar reunião presencial na Câmara Municipal para apresentação do Supervisor Regional, do Coordenador responsável pela área e do Agente de Relacionamento Institucional;"/>
    <d v="2026-09-03T00:00:00"/>
    <s v="reuniao agendada 31/08/2026."/>
    <m/>
    <d v="2026-09-07T00:00:00"/>
    <m/>
    <s v="Monike Chaves"/>
    <s v="Gabriella Domingo"/>
    <s v="Carlos Bordão, 1º Vice-Presidente"/>
    <s v="Guilherme Antonio Schio Parana, Dian Cleiton de Brito, Giovani Moura Sousa"/>
    <s v="Não"/>
    <s v="Visita Domo de Ferro"/>
    <d v="2026-09-03T00:00:00"/>
    <s v="Gabriella Amorim Domingo"/>
    <d v="2026-09-03T00:00:00"/>
    <s v="Gabriella Amorim Domingo"/>
    <n v="25"/>
    <n v="25"/>
    <n v="25"/>
    <s v=""/>
    <m/>
    <s v=""/>
    <s v="PONTA PORA"/>
    <n v="96"/>
    <s v="&gt;50 dias"/>
    <s v="Dentro"/>
    <s v="Não risco"/>
    <e v="#VALUE!"/>
    <n v="16"/>
  </r>
  <r>
    <s v="665"/>
    <s v="Visita Domo de Ferro"/>
    <x v="4"/>
    <s v="DESC"/>
    <d v="2026-06-15T00:00:00"/>
    <s v="Dian Cleiton de Brito"/>
    <s v="Finalizada"/>
    <x v="1"/>
    <s v=""/>
    <s v=""/>
    <s v="0502600350"/>
    <s v="SUL"/>
    <s v="Itaquiraí"/>
    <s v="Prefeitura"/>
    <s v="Itaquiraí"/>
    <s v="Solicita agilizar obra de atendimento a estação elevatória de esgoto, considerando necessidade de inauguração em 20/07/26;_x000a__x000a_CLIENTE LIGADO DIA 24/07."/>
    <d v="2026-07-13T00:00:00"/>
    <s v="Solicita agilizar obra de atendimento a estação elevatória de esgoto, considerando necessidade de inauguração em 20/07/26._x000a_DCMD - respondida em 11/07/2026 - Obra 0502600350 (construção - conclusão física) em 09/07/2026."/>
    <d v="2026-08-12T00:00:00"/>
    <s v="CLIENTE LIGADO DIA 24/07."/>
    <m/>
    <m/>
    <d v="2026-07-24T00:00:00"/>
    <s v="Dian Cleiton de Brito"/>
    <s v="Bruna Santos"/>
    <s v="Thalles Tomazelli - Prefeito"/>
    <s v="Dian Cleiton de Brito"/>
    <s v="Não"/>
    <s v="Visita Domo de Ferro"/>
    <d v="2026-09-03T00:00:00"/>
    <s v="Moacir Costa Neto"/>
    <d v="2026-08-12T00:00:00"/>
    <s v="Bruna Fabiana Braguin dos Santos"/>
    <n v="100"/>
    <n v="100"/>
    <n v="100"/>
    <s v=""/>
    <m/>
    <s v=""/>
    <s v="NAVIRAI"/>
    <n v="98"/>
    <s v="&gt;50 dias"/>
    <s v="Dentro"/>
    <s v="Não risco"/>
    <e v="#VALUE!"/>
    <n v="30"/>
  </r>
  <r>
    <s v="665"/>
    <s v="Visita Domo de Ferro"/>
    <x v="0"/>
    <s v="DCMD"/>
    <d v="2026-06-15T00:00:00"/>
    <s v="Dian Cleiton de Brito"/>
    <s v="Finalizada"/>
    <x v="1"/>
    <s v=""/>
    <s v=""/>
    <s v="0502600350"/>
    <s v="SUL"/>
    <s v="Itaquiraí"/>
    <s v="Prefeitura"/>
    <s v="Itaquiraí"/>
    <s v="Solicita agilizar obra de atendimento a estação elevatória de esgoto, considerando necessidade de inauguração em 20/07/26;_x000a__x000a_CLIENTE LIGADO DIA 24/07."/>
    <d v="2026-06-19T00:00:00"/>
    <s v="Solicita agilizar obra de atendimento a estação elevatória de esgoto, considerando necessidade de inauguração em 20/07/26;_x000a_Expectativa da obra: 16/07/26. Lançado no priorizador de obras."/>
    <d v="2026-07-11T00:00:00"/>
    <s v="obra concluida 09/07"/>
    <d v="2026-07-16T00:00:00"/>
    <d v="2026-07-09T00:00:00"/>
    <d v="2026-07-09T00:00:00"/>
    <s v="Felipe Souza do Nascimento"/>
    <s v="Amanda Santos"/>
    <s v="Thalles Tomazelli - Prefeito"/>
    <s v="Dian Cleiton de Brito"/>
    <s v="Não"/>
    <s v="Visita Domo de Ferro"/>
    <d v="2026-09-03T00:00:00"/>
    <s v="Moacir Costa Neto"/>
    <d v="2026-07-11T00:00:00"/>
    <s v="Amanda Aparecida Teixeira dos Santos"/>
    <n v="100"/>
    <n v="100"/>
    <n v="100"/>
    <s v=""/>
    <m/>
    <s v=""/>
    <s v="NAVIRAI"/>
    <n v="98"/>
    <s v="&gt;50 dias"/>
    <s v="Dentro"/>
    <s v="Não risco"/>
    <e v="#VALUE!"/>
    <n v="22"/>
  </r>
  <r>
    <s v="671"/>
    <s v="Visita Domo de Ferro"/>
    <x v="1"/>
    <s v="DCMD"/>
    <d v="2026-06-18T00:00:00"/>
    <s v="Dian Cleiton de Brito"/>
    <s v="Finalizada"/>
    <x v="1"/>
    <s v=""/>
    <s v=""/>
    <s v=""/>
    <s v="SUL"/>
    <s v="Iguatemi"/>
    <s v="Assembleia Legislativa"/>
    <s v="Iguatemi"/>
    <s v="Solicita agilizar contrato solicitado em 05/06. para atender PE 19490/26 COOPERSCHUTZ COOPERATIVA AGROINDUSTRIAL  com transformador de 500 kVA_x000a__x000a_CLIENTE ATENDIDO DIA 10/07 UC  3733230 OS 549792379"/>
    <d v="2026-06-19T00:00:00"/>
    <s v="Solicita agilizar contrato solicitado em 05/06. para atender PE 19490/26 COOPERSCHUTZ COOPERATIVA AGROINDUSTRIAL  com transformador de 500 kVA._x000a_Gentileza agilizar a OS 539181731 de Orçamento para elaboração do contrato."/>
    <d v="2026-07-02T00:00:00"/>
    <s v="SEM NECESSIDADE DE OBRA - 296 IMPEDIDA E 628 GERADA (PONTO IMPORTANTE PE DO CLIENTE AINDA NÃO FOI COMISSIONADO)"/>
    <d v="2026-07-08T00:00:00"/>
    <d v="2026-07-07T00:00:00"/>
    <d v="2026-07-02T00:00:00"/>
    <s v="Bruna Victoria Rodrigues Ricardes"/>
    <s v="Mariana Nakada"/>
    <s v="Dep. Vander Loubet"/>
    <s v="Dian Cleiton de Brito"/>
    <s v="Não"/>
    <s v="Visita Domo de Ferro"/>
    <d v="2026-09-03T00:00:00"/>
    <s v="Moacir Costa Neto"/>
    <d v="2026-07-02T00:00:00"/>
    <s v="Mariana Kenu Shimizu Nakada"/>
    <n v="100"/>
    <n v="100"/>
    <n v="100"/>
    <s v=""/>
    <m/>
    <s v=""/>
    <s v="NAVIRAI"/>
    <n v="95"/>
    <s v="&gt;50 dias"/>
    <s v="Dentro"/>
    <s v="Não risco"/>
    <e v="#VALUE!"/>
    <n v="13"/>
  </r>
  <r>
    <s v="671"/>
    <s v="Visita Domo de Ferro"/>
    <x v="1"/>
    <s v="DESC"/>
    <d v="2026-06-18T00:00:00"/>
    <s v="Dian Cleiton de Brito"/>
    <s v="Finalizada"/>
    <x v="1"/>
    <s v=""/>
    <s v=""/>
    <s v=""/>
    <s v="SUL"/>
    <s v="Iguatemi"/>
    <s v="Assembleia Legislativa"/>
    <s v="Iguatemi"/>
    <s v="Solicita agilizar contrato solicitado em 05/06. para atender PE 19490/26 COOPERSCHUTZ COOPERATIVA AGROINDUSTRIAL  com transformador de 500 kVA_x000a__x000a_CLIENTE ATENDIDO DIA 10/07 UC  3733230 OS 549792379"/>
    <d v="2026-08-11T00:00:00"/>
    <s v="Por gentileza, verificar o andamento das tratativas relacionadas ao PE 19490/25. _x000a_Conforme informado em 09/07/2026 a ligação estava programada para execução em 10/07/2026."/>
    <d v="2026-08-12T00:00:00"/>
    <s v="CLIENTE ATENDIDO DIA 10/07 UC 3733230. OS AUMENTO 549792379"/>
    <m/>
    <m/>
    <d v="2026-07-10T00:00:00"/>
    <s v="Marcelly Arce Avalo Franca"/>
    <s v="Bruna Santos"/>
    <s v="Dep. Vander Loubet"/>
    <s v="Dian Cleiton de Brito"/>
    <s v="Não"/>
    <s v="Visita Domo de Ferro"/>
    <d v="2026-09-03T00:00:00"/>
    <s v="Moacir Costa Neto"/>
    <d v="2026-08-12T00:00:00"/>
    <s v="Bruna Fabiana Braguin dos Santos"/>
    <n v="100"/>
    <n v="100"/>
    <n v="100"/>
    <s v=""/>
    <m/>
    <s v=""/>
    <s v="NAVIRAI"/>
    <n v="95"/>
    <s v="&gt;50 dias"/>
    <s v="Dentro"/>
    <s v="Não risco"/>
    <e v="#VALUE!"/>
    <n v="1"/>
  </r>
  <r>
    <s v="672"/>
    <s v="Visita Domo de Ferro"/>
    <x v="1"/>
    <s v="DCMD"/>
    <d v="2026-02-27T00:00:00"/>
    <s v="Monike Chaves"/>
    <s v="Finalizada"/>
    <x v="1"/>
    <s v=""/>
    <s v=""/>
    <s v="0202601135"/>
    <s v="SUL"/>
    <s v="Maracaju"/>
    <s v="Prefeitura"/>
    <s v="Maracaju"/>
    <s v="OS 544280985_x000a__x000a__x000a_A PREFEITURA MUNICIPAL DE MARACAJU, inscrita no CNPJ 03.442.597/001-12, por meio _x000a_deste, vem respeitosamente solicitar o início das obras de IMPLANTAÇÃO E EXTENSÃO DE _x000a_FORNECIMENTO DE ENERGIA, em atendimento ao empreendimento LOTEAMENTO _x000a_FORTALEZA III, localizado no município de Maracaju/MS, objeto das matrículas de no 26830 e _x000a_26.833 do Cartório de Registro de Imóveis de Maracaju/MS, em atendimento aos 109 lotes, conforme _x000a_consta no Projeto Elétrico e croqui da locação dos postes para a extensão da rede. _x000a_O referido loteamento encontra-se em fase de construção e necessita de atendimento elétrico adequado _x000a_para viabilizar o fornecimento de energia às futuras residências, conforme as normas técnicas e _x000a_regulatórias vigentes. _x000a_Dessa forma, solicitamos a gentileza de início das obras, antes da execução do pavimento com a maior _x000a_brevidade possível."/>
    <d v="2026-08-11T00:00:00"/>
    <s v="Orçamento enviado e aprovado pelo cliente._x000a_Por favor verificar possibilidade de agilizar atendimento da Obra 020-26-01135."/>
    <d v="2026-08-13T00:00:00"/>
    <s v="A SOLICITAÇÃO DE AGILIDADE DO ORÇAMENTO JA FOI ATENDIDA, PARA AGILIDADE NA OBRA SERÁ CRIADO UM NOVO ID"/>
    <d v="2026-09-18T00:00:00"/>
    <m/>
    <d v="2026-08-13T00:00:00"/>
    <s v="Amanda Aparecida Teixeira dos Santos"/>
    <s v="Bruna Santos"/>
    <s v="Prefeito Calderan _x000a_Gerente de obras Adriana"/>
    <s v="Monike Chaves"/>
    <s v="Não"/>
    <s v="Visita Domo de Ferro"/>
    <d v="2026-09-03T00:00:00"/>
    <s v="Moacir Costa Neto"/>
    <d v="2026-08-13T00:00:00"/>
    <s v="Bruna Fabiana Braguin dos Santos"/>
    <n v="100"/>
    <n v="100"/>
    <n v="100"/>
    <s v=""/>
    <m/>
    <s v=""/>
    <s v="RIO BRILHANTE"/>
    <n v="206"/>
    <s v="&gt;50 dias"/>
    <s v="Dentro"/>
    <s v="Risco"/>
    <e v="#VALUE!"/>
    <n v="2"/>
  </r>
  <r>
    <s v="698"/>
    <s v="Visita Domo de Ferro"/>
    <x v="2"/>
    <s v="DEOP"/>
    <d v="2026-04-01T00:00:00"/>
    <s v="Monike Chaves"/>
    <s v="Finalizada"/>
    <x v="1"/>
    <s v=""/>
    <s v="1938216"/>
    <s v=""/>
    <s v="SUL"/>
    <s v="Mundo Novo"/>
    <s v="Prefeitura"/>
    <s v="Mundo Novo"/>
    <s v="Cliente com grande influência institucional - Raul (Ministério da Agricultura) problemas constantes de falta de energia."/>
    <d v="2026-06-19T00:00:00"/>
    <s v="Cliente com grande influência institucional - Raul (Ministério da Agricultura) problemas constantes de falta de energia."/>
    <d v="2026-06-29T00:00:00"/>
    <s v="Caso ja foi tratado no plano de manutenção, em analise a performance do circuito, percebemos melhoria significativa sendo a ultima interrupção com data de 27/04."/>
    <m/>
    <m/>
    <m/>
    <s v="Gerson Mendes Ortiz"/>
    <s v="Gerson Ortiz"/>
    <m/>
    <s v="Monike Chaves"/>
    <s v="Não"/>
    <s v="Visita Domo de Ferro"/>
    <d v="2026-09-03T00:00:00"/>
    <s v="Moacir Costa Neto"/>
    <d v="2026-06-29T00:00:00"/>
    <s v="Gerson Mendes Ortiz"/>
    <n v="100"/>
    <n v="100"/>
    <n v="50"/>
    <s v=""/>
    <m/>
    <s v=""/>
    <s v="NAVIRAI"/>
    <n v="173"/>
    <s v="&gt;50 dias"/>
    <s v="Dentro"/>
    <s v="Não risco"/>
    <e v="#VALUE!"/>
    <n v="10"/>
  </r>
  <r>
    <s v="711"/>
    <s v="Visita Domo de Ferro"/>
    <x v="2"/>
    <s v="DCMD"/>
    <d v="2026-06-19T00:00:00"/>
    <s v="Danila Hertal Moreira Souza"/>
    <s v="Finalizada"/>
    <x v="1"/>
    <s v=""/>
    <s v="1663287"/>
    <s v=""/>
    <s v="NORTE"/>
    <s v="Dois Irmãos do Buriti"/>
    <s v="Diretoria"/>
    <s v="Dois Irmãos do Buriti"/>
    <s v="Origem: Flavia Comunicação/DPRes Paulo._x000a_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_x000a_UC 1663287"/>
    <d v="2026-07-01T00:00:00"/>
    <s v="Origem: Flavia Comunicação/DPRes Paulo.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UC 1663287._x000a_ DEOP: Análise realizada em 25/06/2026 - Identificado oportunidade de atuação no bloco ofensor FU(10625) SET02, atende 3 clientes e possui registro de 5 interrupções esse ano."/>
    <d v="2026-08-13T00:00:00"/>
    <m/>
    <m/>
    <m/>
    <m/>
    <s v="Evair Rogerio da Conceicao"/>
    <s v="Gabriella Domingo"/>
    <m/>
    <s v="Danila Hertal Moreira Souza"/>
    <s v="Não"/>
    <s v="Visita Domo de Ferro"/>
    <d v="2026-09-03T00:00:00"/>
    <s v="Moacir Costa Neto"/>
    <d v="2026-08-13T00:00:00"/>
    <s v="Gabriella Amorim Domingo"/>
    <n v="100"/>
    <n v="100"/>
    <n v="100"/>
    <s v=""/>
    <m/>
    <s v=""/>
    <s v="AQUIDAUANA"/>
    <n v="94"/>
    <s v="&gt;50 dias"/>
    <s v="Dentro"/>
    <s v="Não risco"/>
    <e v="#VALUE!"/>
    <n v="43"/>
  </r>
  <r>
    <s v="711"/>
    <s v="Visita Domo de Ferro"/>
    <x v="2"/>
    <s v="DEOP"/>
    <d v="2026-06-19T00:00:00"/>
    <s v="Danila Hertal Moreira Souza"/>
    <s v="Finalizada"/>
    <x v="1"/>
    <s v=""/>
    <s v="1663287"/>
    <s v=""/>
    <s v="NORTE"/>
    <s v="Dois Irmãos do Buriti"/>
    <s v="Diretoria"/>
    <s v="Dois Irmãos do Buriti"/>
    <s v="Origem: Flavia Comunicação/DPRes Paulo._x000a_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_x000a_UC 1663287"/>
    <d v="2026-06-19T00:00:00"/>
    <s v="Gentileza realizar estudo completo._x000a_Origem: Flavia Comunicação/DPRes Paulo._x000a_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_x000a_UC 1663287"/>
    <d v="2026-08-12T00:00:00"/>
    <m/>
    <m/>
    <m/>
    <d v="2026-06-25T00:00:00"/>
    <s v="Gerson Mendes Ortiz"/>
    <s v="Gabriella Domingo"/>
    <m/>
    <s v="Danila Hertal Moreira Souza"/>
    <s v="Não"/>
    <s v="Visita Domo de Ferro"/>
    <d v="2026-09-03T00:00:00"/>
    <s v="Moacir Costa Neto"/>
    <d v="2026-08-12T00:00:00"/>
    <s v="Gabriella Amorim Domingo"/>
    <n v="100"/>
    <n v="100"/>
    <n v="100"/>
    <s v=""/>
    <m/>
    <s v=""/>
    <s v="AQUIDAUANA"/>
    <n v="94"/>
    <s v="&gt;50 dias"/>
    <s v="Dentro"/>
    <s v="Não risco"/>
    <e v="#VALUE!"/>
    <n v="54"/>
  </r>
  <r>
    <s v="717"/>
    <s v="Visita Domo de Ferro"/>
    <x v="3"/>
    <s v="DCMD"/>
    <d v="2026-05-04T00:00:00"/>
    <s v="Danila Hertal Moreira Souza"/>
    <s v="Finalizada"/>
    <x v="1"/>
    <s v=""/>
    <s v="1938867"/>
    <s v=""/>
    <s v="SUL"/>
    <s v="Maracaju"/>
    <s v="Diretoria"/>
    <s v="Maracaju"/>
    <s v="Origem externa: Vereador Catito_x000a_Origem interna: DPres. Paulo_x000a_Manutenção de rede/Verificação de Tensão. Cliente reclama da qualidade de fornecimento e solicita verificação das condições dos cabos."/>
    <d v="2026-06-19T00:00:00"/>
    <s v="Manutenção de rede/Verificação de Tensão. Cliente reclama da qualidade de fornecimento e solicita verificação das condições dos cabos. _x000a_CENTRAL: registrar poda de árvore e verificação de tensão. Paulo solicitou direto de 7 dias (522393892). TD 21682.  Ações em andamento: 04/05: iremos recompor o trecho faltante até 18/05. O trecho principal já foi reformado. _x000a_16/06: UC estava ligado no circuito vizinho, agora trocado o barramento correto, ramal de entrada do cliente. Instalado o medidor, 7 dias uteis para ter o diagnostico"/>
    <d v="2026-08-18T00:00:00"/>
    <s v="ANALISE DE TENSÃO DENTRO DOS PADRÕES"/>
    <m/>
    <m/>
    <m/>
    <s v="Francisco Ferreira dos Santos"/>
    <s v="Bruna Santos"/>
    <m/>
    <s v="Dian Cleiton de Brito"/>
    <s v="Não"/>
    <s v="Visita Domo de Ferro"/>
    <d v="2026-08-25T00:00:00"/>
    <s v="Moacir Costa Neto"/>
    <d v="2026-08-18T00:00:00"/>
    <s v="Bruna Fabiana Braguin dos Santos"/>
    <n v="100"/>
    <n v="100"/>
    <n v="100"/>
    <s v=""/>
    <m/>
    <s v=""/>
    <s v="RIO BRILHANTE"/>
    <n v="140"/>
    <s v="&gt;50 dias"/>
    <s v="Dentro"/>
    <s v="Não risco"/>
    <e v="#VALUE!"/>
    <n v="60"/>
  </r>
  <r>
    <s v="719"/>
    <s v="Visita Domo de Ferro"/>
    <x v="3"/>
    <s v="DCMD"/>
    <d v="2026-08-11T00:00:00"/>
    <s v="Danila Hertal Moreira Souza"/>
    <s v="Finalizada"/>
    <x v="1"/>
    <s v=""/>
    <s v="3731199"/>
    <s v=""/>
    <s v="SUL"/>
    <s v="Maracaju"/>
    <s v="Câmara"/>
    <s v="Maracaju"/>
    <s v="Cliente Mauro Cristianini, Manutenção de rede/Verificação de Tensão. Cliente reclama da qualidade de fornecimento e solicita verificação das condições dos cabos."/>
    <m/>
    <s v="Cliente Mauro Cristianini, Manutenção de rede/Verificação de Tensão. Cliente reclama da qualidade de fornecimento e solicita verificação das condições dos cabos. DIRETOR: Enviar para o Dir. Paulo, pois irá verificar a obra da subestação para realizar essa manutenção. TD 15494. Ações em andamento: 04/05: DCMD: Ramal do cliente foi construído um novo e foi instalado um religador na derivação do cliente que esta em etapa de comissionamento, não está funcionando por conta da master. _x000a_16/06: confirmar se a master esta funcionando"/>
    <d v="2026-08-11T00:00:00"/>
    <m/>
    <d v="2026-07-09T00:00:00"/>
    <m/>
    <d v="2026-07-09T00:00:00"/>
    <s v="Evair Rogerio da Conceicao"/>
    <s v="Wander Machado"/>
    <m/>
    <s v="Dian Cleiton de Brito"/>
    <s v="Não"/>
    <s v="Visita Domo de Ferro"/>
    <d v="2026-09-03T00:00:00"/>
    <s v="Moacir Costa Neto"/>
    <d v="2026-08-11T00:00:00"/>
    <s v="Wander Idalino Machado"/>
    <n v="25"/>
    <n v="25"/>
    <n v="25"/>
    <s v=""/>
    <m/>
    <s v=""/>
    <s v="RIO BRILHANTE"/>
    <n v="41"/>
    <s v="&gt;50 dias"/>
    <s v="Dentro"/>
    <s v="Não risco"/>
    <e v="#VALUE!"/>
    <n v="46245"/>
  </r>
  <r>
    <s v="719"/>
    <s v="Visita Domo de Ferro"/>
    <x v="3"/>
    <s v="DEMT"/>
    <d v="2026-08-11T00:00:00"/>
    <s v="Danila Hertal Moreira Souza"/>
    <s v="Finalizada"/>
    <x v="1"/>
    <s v=""/>
    <s v="3731199"/>
    <s v=""/>
    <s v="SUL"/>
    <s v="Maracaju"/>
    <s v="Câmara"/>
    <s v="Maracaju"/>
    <s v="Cliente Mauro Cristianini, Manutenção de rede/Verificação de Tensão. Cliente reclama da qualidade de fornecimento e solicita verificação das condições dos cabos."/>
    <d v="2026-07-10T00:00:00"/>
    <s v="Cliente Mauro Cristianini, Manutenção de rede/Verificação de Tensão. Cliente reclama da qualidade de fornecimento e solicita verificação das condições dos cabos. DIRETOR: Enviar para o Dir. Paulo, pois irá verificar a obra da subestação para realizar essa manutenção. TD 15494. Ações em andamento: 04/05: DCMD: Ramal do cliente foi construído um novo e foi instalado um religador na derivação do cliente que esta em etapa de comissionamento, não está funcionando por conta da master. _x000a_16/06: confirmar se a master esta funcionando._x000a_DCMD (09/07/2026) - Transferir para o Time do DEMT - Trata-se de confirmar se a master esta funcionando."/>
    <d v="2026-08-13T00:00:00"/>
    <m/>
    <m/>
    <m/>
    <m/>
    <s v="Klariman Yasmin da Silva Pereira"/>
    <s v="Gabriella Domingo"/>
    <m/>
    <s v="Dian Cleiton de Brito"/>
    <s v="Não"/>
    <s v="Visita Domo de Ferro"/>
    <d v="2026-09-03T00:00:00"/>
    <s v="Moacir Costa Neto"/>
    <d v="2026-08-13T00:00:00"/>
    <s v="Gabriella Amorim Domingo"/>
    <n v="25"/>
    <n v="25"/>
    <n v="25"/>
    <s v=""/>
    <m/>
    <s v=""/>
    <s v="RIO BRILHANTE"/>
    <n v="41"/>
    <s v="&gt;50 dias"/>
    <s v="Dentro"/>
    <s v="Não risco"/>
    <e v="#VALUE!"/>
    <n v="34"/>
  </r>
  <r>
    <s v="72"/>
    <s v="Visita Domo de Ferro"/>
    <x v="4"/>
    <s v="Central do Cliente"/>
    <d v="2026-05-04T00:00:00"/>
    <s v="Dian Cleiton de Brito"/>
    <s v="Finalizada"/>
    <x v="1"/>
    <s v=""/>
    <s v=""/>
    <s v="0252600193"/>
    <s v="NORTE"/>
    <s v="Anastácio"/>
    <s v="Assembleia Legislativa"/>
    <s v="Anastácio"/>
    <s v="Prefeitura solicita urgência Protocolo: 174368552   realocação de quatro postes de energia eléctrica situados na Rua Bom Fim  no trecho compreendido entre a Rua 18 de Marco e a Rua Para  no Bairro Afonso Paim  no Município de Anastácio   MS  tendo em vista a futura execução de obras de pavimentação asfáltica e drenagem pluvial no referido local, Obra 0252600193._x000a_Gerado em duplicidade. Atendimento realizado pelo ID 252."/>
    <d v="2026-08-04T00:00:00"/>
    <s v="Prefeitura solicita urgência Protocolo: 174368552   realocação de quatro postes de energia eléctrica situados na Rua Bom Fim  no trecho compreendido entre a Rua 18 de Marco e a Rua Para  no Bairro Afonso Paim  no Município de Anastácio   MS  tendo em vista a futura execução de obras de pavimentação asfáltica e drenagem pluvial no referido local, Obra 0252600193._x000a_Gerado em duplicidade. Atendimento realizado pelo ID 252."/>
    <d v="2026-08-04T00:00:00"/>
    <s v="Prefeitura solicita urgência Protocolo: 174368552   realocação de quatro postes de energia eléctrica situados na Rua Bom Fim  no trecho compreendido entre a Rua 18 de Marco e a Rua Para  no Bairro Afonso Paim  no Município de Anastácio   MS  tendo em vista a futura execução de obras de pavimentação asfáltica e drenagem pluvial no referido local, Obra 0252600193._x000a_Gerado em duplicidade. Atendimento realizado pelo ID 252."/>
    <m/>
    <m/>
    <d v="2026-08-04T00:00:00"/>
    <s v="Wander Idalino Machado"/>
    <s v="Wander Machado"/>
    <s v="Samer -a Assessoria da prefeitura_x000a_Barbosinha- vice governador"/>
    <s v="Dian Cleiton de Brito"/>
    <s v="Não"/>
    <s v="Visita Domo de Ferro"/>
    <d v="2026-09-03T00:00:00"/>
    <s v="Moacir Costa Neto"/>
    <d v="2026-08-04T00:00:00"/>
    <s v="Wander Idalino Machado"/>
    <n v="100"/>
    <n v="100"/>
    <n v="100"/>
    <s v=""/>
    <m/>
    <s v=""/>
    <s v="AQUIDAUANA"/>
    <n v="140"/>
    <s v="&gt;50 dias"/>
    <s v="Dentro"/>
    <s v="Não risco"/>
    <e v="#VALUE!"/>
    <n v="0"/>
  </r>
  <r>
    <s v="722"/>
    <s v="Visita Domo de Ferro"/>
    <x v="3"/>
    <s v="DCMD"/>
    <d v="2026-05-04T00:00:00"/>
    <s v="Danila Hertal Moreira Souza"/>
    <s v="Finalizada"/>
    <x v="1"/>
    <s v=""/>
    <s v="2754488"/>
    <s v=""/>
    <s v="SUL"/>
    <s v="Maracaju"/>
    <s v="Câmara"/>
    <s v="Maracaju"/>
    <s v="Manutenção da Rede - Dia 07/10  Francisco de Ddos foi até a propriedade e correu toda a rede com o proprietário, assim ficou de mandar uma equipe com drone e verificar os pontos mais críticos, e assim ficou de mandar o caminhão para realização dessas manutenções. Após as manutenções realizadas na rede agora a energia cai mais vezes ao dia e volta com 30 a 40 minutos - DIAN QUE ESTA VERIFICANDO ESTA DEMANDA"/>
    <d v="2026-06-19T00:00:00"/>
    <s v="Manutenção da Rede - Dia 07/10  Francisco de Ddos foi até a propriedade e correu toda a rede com o proprietário, assim ficou de mandar uma equipe com drone e verificar os pontos mais críticos, e assim ficou de mandar o caminhão para realização dessas manutenções. Após as manutenções realizadas na rede agora a energia cai mais vezes ao dia e volta com 30 a 40 minutos - DIAN QUE ESTA VERIFICANDO ESTA DEMANDA._x000a_ENERGISA_x000a_Verificar com o Dian/14-04: Ações em andamento: DCMD no bloco no qual o cliente é atendido foram realizadas manutenções em 13 estruturas; limpeza de 0,15km de faixa. Na última inspeção foi realizada em 14/04 e foi identificado necessidade outras manutenções (AÇÕES CONCLUÍDAS). Foram levantadas 25 oportunidades de manutenções com programação de execução para 21/05/2026. _x000a_04/05: previsão de conclusão hoje 04/05, do ramal que atende o cliente. A fonte que atende o ramal está sendo inspeção no detalhe por drone e a previsão de manutenção de acordo com os lavantamentos apontados será à partir de 11/05. _x000a_16/06 - levantamento de carga com a perdas. Pois as manutenções foram executadas e sem indicativo de problemas."/>
    <d v="2026-08-18T00:00:00"/>
    <s v="16/06 - levantamento de carga com a perdas. Pois as manutenções foram executadas e sem indicativo de problemas."/>
    <m/>
    <m/>
    <m/>
    <s v="Danila Hertal Moreira Souza"/>
    <s v="Bruna Santos"/>
    <m/>
    <s v="Danila Hertal Moreira Souza"/>
    <s v="Não"/>
    <s v="Visita Domo de Ferro"/>
    <d v="2026-08-25T00:00:00"/>
    <s v="Moacir Costa Neto"/>
    <d v="2026-08-18T00:00:00"/>
    <s v="Bruna Fabiana Braguin dos Santos"/>
    <n v="25"/>
    <n v="25"/>
    <n v="25"/>
    <s v=""/>
    <m/>
    <s v=""/>
    <s v="RIO BRILHANTE"/>
    <n v="140"/>
    <s v="&gt;50 dias"/>
    <s v="Dentro"/>
    <s v="Não risco"/>
    <e v="#VALUE!"/>
    <n v="60"/>
  </r>
  <r>
    <s v="724"/>
    <s v="Visita Domo de Ferro"/>
    <x v="1"/>
    <s v="DCMD"/>
    <d v="2026-05-04T00:00:00"/>
    <s v="Danila Hertal Moreira Souza"/>
    <s v="Finalizada"/>
    <x v="1"/>
    <s v=""/>
    <s v=""/>
    <s v="0202501568"/>
    <s v="SUL"/>
    <s v="Maracaju"/>
    <s v="Câmara"/>
    <s v="Maracaju"/>
    <s v="Ligação Nova - 70% da obra do cliente concluída: falta somente instalar o medidor e cliente informou que será concluída até 20/04._x000a__x000a_CLIENTE LIGADO DIA 03/07"/>
    <d v="2026-06-30T00:00:00"/>
    <s v="Encabeçamento precisar ser executado, gentileza informar programação."/>
    <d v="2026-08-13T00:00:00"/>
    <m/>
    <m/>
    <m/>
    <m/>
    <s v="Felipe Souza do Nascimento"/>
    <s v="Gabriella Domingo"/>
    <m/>
    <s v="Danila Hertal Moreira Souza"/>
    <s v="Não"/>
    <s v="Visita Domo de Ferro"/>
    <d v="2026-09-03T00:00:00"/>
    <s v="Moacir Costa Neto"/>
    <d v="2026-08-13T00:00:00"/>
    <s v="Gabriella Amorim Domingo"/>
    <n v="25"/>
    <n v="25"/>
    <n v="25"/>
    <s v=""/>
    <m/>
    <s v=""/>
    <s v="RIO BRILHANTE"/>
    <n v="140"/>
    <s v="&gt;50 dias"/>
    <s v="Dentro"/>
    <s v="Não risco"/>
    <e v="#VALUE!"/>
    <n v="44"/>
  </r>
  <r>
    <s v="724"/>
    <s v="Visita Domo de Ferro"/>
    <x v="1"/>
    <s v="DESC"/>
    <d v="2026-05-04T00:00:00"/>
    <s v="Danila Hertal Moreira Souza"/>
    <s v="Finalizada"/>
    <x v="1"/>
    <s v=""/>
    <s v=""/>
    <s v="0202501568"/>
    <s v="SUL"/>
    <s v="Maracaju"/>
    <s v="Câmara"/>
    <s v="Maracaju"/>
    <s v="Ligação Nova - 70% da obra do cliente concluída: falta somente instalar o medidor e cliente informou que será concluída até 20/04._x000a__x000a_CLIENTE LIGADO DIA 03/07"/>
    <d v="2026-06-30T00:00:00"/>
    <s v="Obra 0202501568 PE 5038424 - liberado a ligação nº 545701569."/>
    <d v="2026-07-24T00:00:00"/>
    <m/>
    <d v="2026-07-20T00:00:00"/>
    <d v="2026-07-03T00:00:00"/>
    <d v="2026-07-03T00:00:00"/>
    <s v="Marcelly Arce Avalo Franca"/>
    <s v="Rafaela Almeida"/>
    <m/>
    <s v="Danila Hertal Moreira Souza"/>
    <s v="Não"/>
    <s v="Visita Domo de Ferro"/>
    <d v="2026-09-03T00:00:00"/>
    <s v="Moacir Costa Neto"/>
    <d v="2026-07-24T00:00:00"/>
    <s v="Rafaela Mattos de Almeida"/>
    <n v="25"/>
    <n v="25"/>
    <n v="25"/>
    <s v=""/>
    <m/>
    <s v=""/>
    <s v="RIO BRILHANTE"/>
    <n v="140"/>
    <s v="&gt;50 dias"/>
    <s v="Dentro"/>
    <s v="Não risco"/>
    <e v="#VALUE!"/>
    <n v="24"/>
  </r>
  <r>
    <s v="730"/>
    <s v="Visita Domo de Ferro"/>
    <x v="1"/>
    <s v="DESC"/>
    <d v="2026-06-19T00:00:00"/>
    <s v="Dian Cleiton de Brito"/>
    <s v="Finalizada"/>
    <x v="1"/>
    <s v=""/>
    <s v=""/>
    <s v=""/>
    <s v="SUL"/>
    <s v="Batayporã"/>
    <s v="Prefeitura"/>
    <s v="Batayporã"/>
    <s v="Prefeito solicita garantir ligação provisória para a festa municipal. _x000a__x000a_Protocolo 181698754_x000a__x000a_Prefeito informa que as pendencias alegadas, foram quitadas."/>
    <d v="2026-06-19T00:00:00"/>
    <s v="Prefeito solicita garantir ligação provisória para a festa municipal. _x000a_Protocolo 181698754_x000a_Prefeito informa que as pendencias alegadas, foram quitadas._x000a_Availdo, prefeito ligou para o Dian e disse que já cancelamos vários protocolos por pendencia financeira. De acordo com ele foram quitadas. precisa que seja garantida a ligação de festividade para a festa do sereno na próxima semana."/>
    <d v="2026-08-12T00:00:00"/>
    <s v="CARD FINALIZADO DEVIDO A DATA DA LIGAÇÃO PROVISORIA JÁ TER SIDO ULTRAPASSADA, PORÉM SEM NENHUMA INFORMAÇÃO OU REGISTRO DA AREA."/>
    <m/>
    <m/>
    <d v="2026-06-19T00:00:00"/>
    <s v="Availdo Taveira de Oliveira"/>
    <s v="Gabriella Domingo"/>
    <s v="Germino Roz - Prefeito Municipal"/>
    <s v=""/>
    <s v="Não"/>
    <s v="Visita Domo de Ferro"/>
    <d v="2026-09-03T00:00:00"/>
    <s v="Moacir Costa Neto"/>
    <d v="2026-08-12T00:00:00"/>
    <s v="Gabriella Amorim Domingo"/>
    <n v="100"/>
    <n v="100"/>
    <n v="100"/>
    <s v=""/>
    <m/>
    <s v=""/>
    <s v="NOVA ANDRADINA"/>
    <n v="94"/>
    <s v="&gt;50 dias"/>
    <s v="Dentro"/>
    <s v="Não risco"/>
    <e v="#VALUE!"/>
    <n v="54"/>
  </r>
  <r>
    <s v="750"/>
    <s v="Visita Domo de Ferro"/>
    <x v="1"/>
    <s v="DCMD"/>
    <d v="2026-06-23T00:00:00"/>
    <s v="Julio Cesar dos Santos Antonelo"/>
    <s v="Finalizada"/>
    <x v="1"/>
    <s v=""/>
    <s v=""/>
    <s v=""/>
    <s v="SUL"/>
    <s v="Dourados"/>
    <s v="Diretoria"/>
    <s v="Dourados"/>
    <s v="AGILIZAR O ORÇAMENTO DO PE 92725 - TRATA-SE OBRA PRA ATENDER MEDIÇÃO AGRUPADA. EXPECTATIVA DO CLIENTE É TER A CONEXAO ATÉ FINAL DE JULHO DE 2026_x000a__x000a_Orçamento finalizado e enviado ao cliente sia 13/07 e finalizado o card."/>
    <d v="2026-06-24T00:00:00"/>
    <s v="AGILIZAR O ORÇAMENTO DO PE 92725 - TRATA-SE OBRA PRA ATENDER MEDIÇÃO AGRUPADA. EXPECTATIVA DO CLIENTE É TER A CONEXAO ATÉ FINAL DE JULHO DE 2026."/>
    <d v="2026-07-29T00:00:00"/>
    <s v="0202601056 ORÇAMENTO ENVIADO PARA O CLIENTE NO DIA 13/07/2026 - AGUARDANDO ACEITE"/>
    <d v="2026-07-31T00:00:00"/>
    <m/>
    <m/>
    <s v="Bruna Victoria Rodrigues Ricardes"/>
    <s v="Mariana Nakada"/>
    <m/>
    <s v="Paulo Roberto dos Santos"/>
    <s v="Não"/>
    <s v="Visita Institucional"/>
    <d v="2026-09-03T00:00:00"/>
    <s v="Moacir Costa Neto"/>
    <d v="2026-07-29T00:00:00"/>
    <s v="Mariana Kenu Shimizu Nakada"/>
    <n v="100"/>
    <n v="100"/>
    <n v="100"/>
    <s v=""/>
    <m/>
    <s v=""/>
    <s v="DOURADOS"/>
    <n v="90"/>
    <s v="&gt;50 dias"/>
    <s v="Fora"/>
    <s v="Não risco"/>
    <e v="#VALUE!"/>
    <n v="35"/>
  </r>
  <r>
    <s v="751"/>
    <s v="Visita Domo de Ferro"/>
    <x v="1"/>
    <s v="DCMD"/>
    <d v="2026-06-23T00:00:00"/>
    <s v="Julio Cesar dos Santos Antonelo"/>
    <s v="Finalizada"/>
    <x v="1"/>
    <s v=""/>
    <s v=""/>
    <s v=""/>
    <s v="SUL"/>
    <s v="Dourados"/>
    <s v="Diretoria"/>
    <s v="Dourados"/>
    <s v="AGILIZAR ORÇAMENTO DO PE 94225 - TRATA-SE DE MEDIÇÃO AGRUPADA, EXPECITATIVA DE CONEXAO É FINAL DE JULHO DE 2026,_x000a__x000a_Central do Cliente (12/08/2026). Orçamento enviado para o cliente na data de 24/07/2026. Obra 020-26-01166 liberada para construção em 04/08/2026."/>
    <d v="2026-06-24T00:00:00"/>
    <s v="AGILIZAR ORÇAMENTO DO PE 94225 OS nº 545523436 - TRATA-SE DE MEDIÇÃO AGRUPADA, EXPECITATIVA DE CONEXAO É FINAL DE JULHO DE 2026"/>
    <d v="2026-07-29T00:00:00"/>
    <s v="OBRA 0202601166 LIBERDA PARA CONSTRUÇÃO 24/07/2026"/>
    <d v="2026-07-31T00:00:00"/>
    <m/>
    <m/>
    <s v="Bruna Victoria Rodrigues Ricardes"/>
    <s v="Mariana Nakada"/>
    <m/>
    <s v="Paulo Roberto dos Santos"/>
    <s v="Não"/>
    <s v="Visita Institucional"/>
    <d v="2026-09-03T00:00:00"/>
    <s v="Moacir Costa Neto"/>
    <d v="2026-07-29T00:00:00"/>
    <s v="Mariana Kenu Shimizu Nakada"/>
    <n v="100"/>
    <n v="100"/>
    <n v="100"/>
    <s v=""/>
    <m/>
    <s v=""/>
    <s v="DOURADOS"/>
    <n v="90"/>
    <s v="&gt;50 dias"/>
    <s v="Fora"/>
    <s v="Não risco"/>
    <e v="#VALUE!"/>
    <n v="35"/>
  </r>
  <r>
    <s v="757"/>
    <s v="Visita Domo de Ferro"/>
    <x v="4"/>
    <s v="DESC"/>
    <d v="2026-06-23T00:00:00"/>
    <s v="Julio Cesar dos Santos Antonelo"/>
    <s v="Finalizada"/>
    <x v="1"/>
    <s v=""/>
    <s v=""/>
    <s v="0502600350"/>
    <s v="SUL"/>
    <s v="Itaquiraí"/>
    <s v="Diretoria"/>
    <s v="Itaquiraí"/>
    <s v="DIRETORIA SOLICITOU PRIORIDADE NA EXECUÇÃO DESSA OBRA, EXPECITATIVA É 15/07/2026._x000a__x000a_Central do Cliente (12/08/2026):_x000a__x000a_Obra 0502600350 concluída fisicamente em 10/07/2026._x000a_Conexão realizada em 24/07/2026 através da OS 552345202, dando origem a unidade consumidora 3825398."/>
    <d v="2026-07-13T00:00:00"/>
    <s v="DIRETORIA SOLICITOU PRIORIDADE NA EXECUÇÃO DESSA OBRA, EXPECITATIVA É 15/07/2026._x000a_DCMD - respondida em 11/07/2026 - Obra 0502600350 (construção - conclusão física) em 09/07/2026."/>
    <d v="2026-08-12T00:00:00"/>
    <s v="Em análise foi identificado que a conexão do cliente ocorreu em 24/07/2026 através da OS 552345202, dando origem a unidade consumidora 3825398."/>
    <d v="2026-07-15T00:00:00"/>
    <m/>
    <d v="2026-08-12T00:00:00"/>
    <s v="Julio Cesar dos Santos Antonelo"/>
    <s v="Wander Machado"/>
    <m/>
    <s v="Paulo Roberto dos Santos"/>
    <s v="Não"/>
    <s v="Visita Institucional"/>
    <d v="2026-09-03T00:00:00"/>
    <s v="Moacir Costa Neto"/>
    <d v="2026-08-12T00:00:00"/>
    <s v="Wander Idalino Machado"/>
    <n v="100"/>
    <n v="100"/>
    <n v="100"/>
    <s v=""/>
    <m/>
    <s v=""/>
    <s v="NAVIRAI"/>
    <n v="90"/>
    <s v="&gt;50 dias"/>
    <s v="Fora"/>
    <s v="Não risco"/>
    <e v="#VALUE!"/>
    <n v="30"/>
  </r>
  <r>
    <s v="757"/>
    <s v="Visita Domo de Ferro"/>
    <x v="0"/>
    <s v="DCMD"/>
    <d v="2026-06-23T00:00:00"/>
    <s v="Julio Cesar dos Santos Antonelo"/>
    <s v="Finalizada"/>
    <x v="1"/>
    <s v=""/>
    <s v=""/>
    <s v="0502600350"/>
    <s v="SUL"/>
    <s v="Itaquiraí"/>
    <s v="Diretoria"/>
    <s v="Itaquiraí"/>
    <s v="DIRETORIA SOLICITOU PRIORIDADE NA EXECUÇÃO DESSA OBRA, EXPECITATIVA É 15/07/2026._x000a__x000a_Central do Cliente (12/08/2026):_x000a__x000a_Obra 0502600350 concluída fisicamente em 10/07/2026._x000a_Conexão realizada em 24/07/2026 através da OS 552345202, dando origem a unidade consumidora 3825398."/>
    <d v="2026-06-24T00:00:00"/>
    <s v="Trata-se de prioridade da Diretoria"/>
    <d v="2026-07-11T00:00:00"/>
    <s v="obra concluida 09/07"/>
    <d v="2026-07-15T00:00:00"/>
    <d v="2026-07-09T00:00:00"/>
    <d v="2026-07-09T00:00:00"/>
    <s v="Felipe Souza do Nascimento"/>
    <s v="Amanda Santos"/>
    <m/>
    <s v="Paulo Roberto dos Santos"/>
    <s v="Não"/>
    <s v="Visita Domo de Ferro"/>
    <d v="2026-09-03T00:00:00"/>
    <s v="Moacir Costa Neto"/>
    <d v="2026-07-11T00:00:00"/>
    <s v="Amanda Aparecida Teixeira dos Santos"/>
    <n v="100"/>
    <n v="100"/>
    <n v="100"/>
    <s v=""/>
    <m/>
    <s v=""/>
    <s v="NAVIRAI"/>
    <n v="90"/>
    <s v="&gt;50 dias"/>
    <s v="Dentro"/>
    <s v="Não risco"/>
    <e v="#VALUE!"/>
    <n v="17"/>
  </r>
  <r>
    <s v="776"/>
    <s v="Visita Domo de Ferro"/>
    <x v="1"/>
    <s v="DCMD"/>
    <d v="2026-05-22T01:00:00"/>
    <s v="Danila Hertal Moreira Souza"/>
    <s v="Finalizada"/>
    <x v="1"/>
    <s v=""/>
    <s v=""/>
    <s v="0102600400"/>
    <s v="CENTRO"/>
    <s v="Campo Grande"/>
    <s v="Diretoria"/>
    <s v="Campo Grande"/>
    <s v="[12:07, 26/06/2026] Paulo Roberto Presidente: Consegue a previsão por favor_x000a_[12:07, 26/06/2026] Paulo Roberto Presidente: Urgente._x000a__x000a_Central do Cliente (12/08/2026): _x000a_Obra 0102600400 conclusão física em 06/07/2026._x000a_Conexão: realizada em 13/07/2026 através da OS 549821419, dando origem a unidade consumidora 3773730"/>
    <d v="2026-06-26T00:00:00"/>
    <s v="Felipe conforme encaminhado no teams e no whats, verifica com urgencia por gentileza a programação dessa obra. Limite do prazo 06/07."/>
    <d v="2026-07-08T00:00:00"/>
    <s v="obra concluida 06/07"/>
    <d v="2026-07-01T00:00:00"/>
    <m/>
    <m/>
    <s v="Felipe Souza do Nascimento"/>
    <s v="Amanda Santos"/>
    <m/>
    <s v="Danila Hertal Moreira Souza"/>
    <s v="Não"/>
    <s v="Visita Domo de Ferro"/>
    <d v="2026-09-03T00:00:00"/>
    <s v="Moacir Costa Neto"/>
    <d v="2026-07-08T00:00:00"/>
    <s v="Amanda Aparecida Teixeira dos Santos"/>
    <n v="100"/>
    <n v="100"/>
    <n v="100"/>
    <s v=""/>
    <m/>
    <s v=""/>
    <s v="CAMPO GRANDE"/>
    <n v="121.95833333333576"/>
    <s v="&gt;50 dias"/>
    <s v="Fora"/>
    <s v="Não risco"/>
    <e v="#VALUE!"/>
    <n v="12"/>
  </r>
  <r>
    <s v="776"/>
    <s v="Visita Domo de Ferro"/>
    <x v="1"/>
    <s v="DESC"/>
    <d v="2026-05-22T01:00:00"/>
    <s v="Danila Hertal Moreira Souza"/>
    <s v="Finalizada"/>
    <x v="1"/>
    <s v=""/>
    <s v=""/>
    <s v="0102600400"/>
    <s v="CENTRO"/>
    <s v="Campo Grande"/>
    <s v="Diretoria"/>
    <s v="Campo Grande"/>
    <s v="[12:07, 26/06/2026] Paulo Roberto Presidente: Consegue a previsão por favor_x000a_[12:07, 26/06/2026] Paulo Roberto Presidente: Urgente._x000a__x000a_Central do Cliente (12/08/2026): _x000a_Obra 0102600400 conclusão física em 06/07/2026._x000a_Conexão: realizada em 13/07/2026 através da OS 549821419, dando origem a unidade consumidora 3773730"/>
    <d v="2026-07-02T00:00:00"/>
    <s v="Verificar o processo de ligação junto a área responsável"/>
    <d v="2026-07-22T00:00:00"/>
    <m/>
    <m/>
    <d v="2026-07-06T00:00:00"/>
    <d v="2026-07-13T00:00:00"/>
    <s v="Marcelly Arce Avalo Franca"/>
    <s v="Marcelly Franca"/>
    <m/>
    <s v="Danila Hertal Moreira Souza"/>
    <s v="Não"/>
    <s v="Visita Domo de Ferro"/>
    <d v="2026-09-03T00:00:00"/>
    <s v="Moacir Costa Neto"/>
    <d v="2026-07-22T00:00:00"/>
    <s v="Marcelly Arce Avalo Franca"/>
    <n v="100"/>
    <n v="100"/>
    <n v="100"/>
    <s v=""/>
    <m/>
    <s v=""/>
    <s v="CAMPO GRANDE"/>
    <n v="121.95833333333576"/>
    <s v="&gt;50 dias"/>
    <s v="Dentro"/>
    <s v="Não risco"/>
    <e v="#VALUE!"/>
    <n v="20"/>
  </r>
  <r>
    <s v="778"/>
    <s v="Visita Domo de Ferro"/>
    <x v="1"/>
    <s v="DESC"/>
    <d v="2026-05-21T01:00:00"/>
    <s v="Danila Hertal Moreira Souza"/>
    <s v="Finalizada"/>
    <x v="1"/>
    <s v=""/>
    <s v=""/>
    <s v="0102600662"/>
    <s v="CENTRO"/>
    <s v="Campo Grande"/>
    <s v="Diretoria"/>
    <s v="Campo Grande"/>
    <s v="[15:00, 26/06/2026] Guilherme Parana: Maurício Botelho _x000a_[15:00, 26/06/2026] Guilherme Parana: Pessoal, prioridade máxima pra agilizar esse processo pfv._x000a__x000a_Central do Cliente (12/08/2026): Obra 010-26-00662 concluída em 01/07/2026. Cliente conectado na data de 30/06/2026 através da ordem de serviço 546950191, dando origem a unidade consumidora 3799024."/>
    <d v="2026-06-26T00:00:00"/>
    <s v="Marcelly, gentileza verificar se há alguma pendência quanto a DESC para a ligação desse cliente. Referente a obra já foi solicitado para agilizar e tem comissionamento OS nº 546294177 aprovado."/>
    <d v="2026-07-01T00:00:00"/>
    <s v="- Ligação concluída ontem dia 30/06; _x000a_- Ressalva em campo: Unidade B ficou ligada em campo, necessário conclusão de transferência de carga para encerrarmos a unidade."/>
    <d v="2026-06-30T00:00:00"/>
    <d v="2026-06-30T00:00:00"/>
    <m/>
    <s v="Marcelly Arce Avalo Franca"/>
    <s v="Marcelly Franca"/>
    <s v="Maurício Botelho"/>
    <s v="Danila Hertal Moreira Souza"/>
    <s v="Não"/>
    <s v="Visita Domo de Ferro"/>
    <d v="2026-09-03T00:00:00"/>
    <s v="Moacir Costa Neto"/>
    <d v="2026-07-01T00:00:00"/>
    <s v="Marcelly Arce Avalo Franca"/>
    <n v="100"/>
    <n v="100"/>
    <n v="100"/>
    <s v=""/>
    <m/>
    <s v=""/>
    <s v="CAMPO GRANDE"/>
    <n v="122.95833333333576"/>
    <s v="&gt;50 dias"/>
    <s v="Fora"/>
    <s v="Não risco"/>
    <e v="#VALUE!"/>
    <n v="5"/>
  </r>
  <r>
    <s v="778"/>
    <s v="Visita Domo de Ferro"/>
    <x v="0"/>
    <s v="DCMD"/>
    <d v="2026-05-21T01:00:00"/>
    <s v="Danila Hertal Moreira Souza"/>
    <s v="Finalizada"/>
    <x v="1"/>
    <s v=""/>
    <s v=""/>
    <s v="0102600662"/>
    <s v="CENTRO"/>
    <s v="Campo Grande"/>
    <s v="Diretoria"/>
    <s v="Campo Grande"/>
    <s v="[15:00, 26/06/2026] Guilherme Parana: Maurício Botelho _x000a_[15:00, 26/06/2026] Guilherme Parana: Pessoal, prioridade máxima pra agilizar esse processo pfv._x000a__x000a_Central do Cliente (12/08/2026): Obra 010-26-00662 concluída em 01/07/2026. Cliente conectado na data de 30/06/2026 através da ordem de serviço 546950191, dando origem a unidade consumidora 3799024."/>
    <d v="2026-06-26T00:00:00"/>
    <s v="Gentileza, priorizar programação dessa. Prioridade máxima conforme sinzalido pelo gerente do DESC._x000a__x000a_[15:00, 26/06/2026] Guilherme Parana: Maurício Botelho _x000a_[15:00, 26/06/2026] Guilherme Parana: Pessoal, prioridade máxima pra agilizar esse processo pfv"/>
    <d v="2026-07-24T00:00:00"/>
    <m/>
    <d v="2026-07-23T00:00:00"/>
    <d v="2026-06-30T00:00:00"/>
    <m/>
    <s v="Felipe Souza do Nascimento"/>
    <s v="Rafaela Almeida"/>
    <s v="Maurício Botelho"/>
    <s v="Danila Hertal Moreira Souza"/>
    <s v="Não"/>
    <s v="Visita Domo de Ferro"/>
    <d v="2026-09-03T00:00:00"/>
    <s v="Moacir Costa Neto"/>
    <d v="2026-07-24T00:00:00"/>
    <s v="Rafaela Mattos de Almeida"/>
    <n v="100"/>
    <n v="100"/>
    <n v="100"/>
    <s v=""/>
    <m/>
    <s v=""/>
    <s v="CAMPO GRANDE"/>
    <n v="122.95833333333576"/>
    <s v="&gt;50 dias"/>
    <s v="Fora"/>
    <s v="Não risco"/>
    <e v="#VALUE!"/>
    <n v="28"/>
  </r>
  <r>
    <s v="78"/>
    <s v="Visita Domo de Ferro"/>
    <x v="2"/>
    <s v="DESC"/>
    <d v="2026-04-14T00:00:00"/>
    <s v="Availdo Taveira de Oliveira"/>
    <s v="Finalizada"/>
    <x v="1"/>
    <s v=""/>
    <s v=""/>
    <s v=""/>
    <s v="NORTE"/>
    <s v="Dois Irmãos do Buriti"/>
    <s v="Prefeitura"/>
    <s v="Dois Irmãos do Buriti"/>
    <s v="Prefeito focou muito na questão da qualidade do fornecimento. Informou que nos ultimos meses sentiu uma melhora devido as manutenções realizadas pela Energisa, porém, a população ainda reclama de constantes oscilações ._x000a__x000a_SEM INFORMAÇÕES BASICAS PARA SEGUIR COM A TRATATIVA, NÃO CONSTA ANEXO."/>
    <d v="2026-05-05T00:00:00"/>
    <s v="Agente Availdo, gentileza informar referência das unidades reclamadas."/>
    <d v="2026-08-12T00:00:00"/>
    <s v="SEM ANEXO E INFORMAÇÕES BASICAS PARA CONSULTA."/>
    <m/>
    <m/>
    <d v="2026-08-12T00:00:00"/>
    <s v="Availdo Taveira de Oliveira"/>
    <s v="Bruna Santos"/>
    <s v="Prefeito Wladimir"/>
    <s v="Sandro Adalberto Bagui, Anderson Brum Smaniotto"/>
    <s v="Não"/>
    <s v="Visita Domo de Ferro"/>
    <d v="2026-09-03T00:00:00"/>
    <s v="Moacir Costa Neto"/>
    <d v="2026-08-12T00:00:00"/>
    <s v="Bruna Fabiana Braguin dos Santos"/>
    <n v="100"/>
    <n v="100"/>
    <n v="100"/>
    <s v=""/>
    <m/>
    <s v=""/>
    <s v="AQUIDAUANA"/>
    <n v="160"/>
    <s v="&gt;50 dias"/>
    <s v="Dentro"/>
    <s v="Não risco"/>
    <e v="#VALUE!"/>
    <n v="99"/>
  </r>
  <r>
    <s v="80"/>
    <s v="Visita Domo de Ferro"/>
    <x v="1"/>
    <s v="Atendimento"/>
    <d v="2026-05-05T00:00:00"/>
    <s v="Availdo Taveira de Oliveira"/>
    <s v="Finalizada"/>
    <x v="1"/>
    <s v=""/>
    <s v=""/>
    <s v=""/>
    <s v="CENTRO"/>
    <s v="Aparecida do Taboado"/>
    <s v="Câmara"/>
    <s v="Aparecida do Taboado"/>
    <s v="vereadores vieram reclama da má prestação de serviço pelo nosso atendimento presencial no municipio - Loja com ar condicionado queimado, somente um atendente e painel de senhas quebrados, não sendo possiel organizar a chegada do cliente que ali buscam atendimento"/>
    <d v="2026-05-05T00:00:00"/>
    <s v="Supervisor Maxwell, solicito, por gentileza, a análise e verificação da reclamação referente ao nosso atendimento no município de Aparecida do Taboado._x000a_Peço também que, após a apuração, seja dado um retorno com as devidas considerações e eventuais providências adotadas."/>
    <d v="2026-08-11T00:00:00"/>
    <m/>
    <m/>
    <m/>
    <d v="2026-05-05T00:00:00"/>
    <s v="Maxwell Ferreira Ossuna"/>
    <s v="Aline Mesquita"/>
    <s v="Presidente da Camara  - Heberson Galter e Vereador Pinduca"/>
    <s v="Availdo Taveira de Oliveira"/>
    <s v="Não"/>
    <s v="Visita Domo de Ferro"/>
    <d v="2026-09-03T00:00:00"/>
    <s v="Moacir Costa Neto"/>
    <d v="2026-08-11T00:00:00"/>
    <s v="Aline da Silva Mesquita"/>
    <n v="25"/>
    <n v="25"/>
    <n v="25"/>
    <s v=""/>
    <m/>
    <s v=""/>
    <s v="PARANAIBA"/>
    <n v="139"/>
    <s v="&gt;50 dias"/>
    <s v="Dentro"/>
    <s v="Não risco"/>
    <e v="#VALUE!"/>
    <n v="98"/>
  </r>
  <r>
    <s v="81"/>
    <s v="Visita Domo de Ferro"/>
    <x v="1"/>
    <s v="DESC"/>
    <d v="2026-04-08T00:00:00"/>
    <s v="Availdo Taveira de Oliveira"/>
    <s v="Finalizada"/>
    <x v="1"/>
    <s v=""/>
    <s v=""/>
    <s v=""/>
    <s v="CENTRO"/>
    <s v="Costa Rica"/>
    <s v="Prefeitura"/>
    <s v="Costa Rica"/>
    <s v="Negociação da divida correspondente a recontagem a iluminação pública._x000a_TRATA-SE DE UMA INFORMAÇÃO, CARD FINALIZADO"/>
    <d v="2026-05-05T00:00:00"/>
    <s v="Negociação da divida correspondente a recontagem a iluminação pública. Agente Availdo foi efetivado a negociação? Qual a referência desse cliente (UC)?"/>
    <d v="2026-08-11T00:00:00"/>
    <m/>
    <d v="2026-05-05T00:00:00"/>
    <d v="2026-05-05T00:00:00"/>
    <d v="2026-05-05T00:00:00"/>
    <s v="Availdo Taveira de Oliveira"/>
    <s v="Aline Mesquita"/>
    <s v="Secretrio Guilherme Diniz"/>
    <s v="Availdo Taveira de Oliveira, Marlon Nogueira Maia"/>
    <s v="Não"/>
    <s v="Visita Domo de Ferro"/>
    <d v="2026-09-03T00:00:00"/>
    <s v="Moacir Costa Neto"/>
    <d v="2026-08-11T00:00:00"/>
    <s v="Aline da Silva Mesquita"/>
    <n v="100"/>
    <n v="100"/>
    <n v="100"/>
    <s v=""/>
    <m/>
    <s v=""/>
    <s v="COSTA RICA"/>
    <n v="166"/>
    <s v="&gt;50 dias"/>
    <s v="Dentro"/>
    <s v="Não risco"/>
    <e v="#VALUE!"/>
    <n v="98"/>
  </r>
  <r>
    <s v="84"/>
    <s v="Visita Domo de Ferro"/>
    <x v="0"/>
    <s v="DCMD"/>
    <d v="2026-05-05T00:00:00"/>
    <s v="Monike Chaves"/>
    <s v="Finalizada"/>
    <x v="1"/>
    <s v=""/>
    <s v=""/>
    <s v="1847426"/>
    <s v="SUL"/>
    <s v="Dourados"/>
    <s v="Prefeitura"/>
    <s v="Dourados"/>
    <s v="Origem: Prefeito de Dourados. Solicitado para agilizar a pedido do Diretor Paulo. Id do projeto: 1847426. Tipo de projeto: subestação atendimento carga. Reapresentação do projeto elétrico para renovação de aprovação ( projeto PE 23867/22 Escola Avani)._x000a__x000a_PROJETADO APROVADO EM 13/05, AÇÃO FINALIZADA."/>
    <d v="2026-05-05T00:00:00"/>
    <s v="Solicitado prioridade a pedido do Diretor Paulo, pois veio do prefeito de Dourados e trata de uma escola. Solicitado para agilizar análise do PE nº 1847426 OS nº 528069045."/>
    <d v="2026-06-24T00:00:00"/>
    <m/>
    <d v="2026-05-08T00:00:00"/>
    <m/>
    <m/>
    <s v="Bruna Victoria Rodrigues Ricardes"/>
    <s v="Mariana Nakada"/>
    <s v="Prefeito Marçal Filho"/>
    <s v="Paulo Roberto dos Santos"/>
    <s v="Não"/>
    <s v="Visita Domo de Ferro"/>
    <d v="2026-09-03T00:00:00"/>
    <s v="Moacir Costa Neto"/>
    <d v="2026-06-24T00:00:00"/>
    <s v="Mariana Kenu Shimizu Nakada"/>
    <n v="100"/>
    <n v="100"/>
    <n v="100"/>
    <s v=""/>
    <m/>
    <s v=""/>
    <s v="DOURADOS"/>
    <n v="139"/>
    <s v="&gt;50 dias"/>
    <s v="Fora"/>
    <s v="Não risco"/>
    <e v="#VALUE!"/>
    <n v="50"/>
  </r>
  <r>
    <s v="84"/>
    <s v="Visita Domo de Ferro"/>
    <x v="0"/>
    <s v="DESC"/>
    <d v="2026-05-05T00:00:00"/>
    <s v="Monike Chaves"/>
    <s v="Finalizada"/>
    <x v="1"/>
    <s v=""/>
    <s v=""/>
    <s v=""/>
    <s v="SUL"/>
    <s v="Dourados"/>
    <s v="Prefeitura"/>
    <s v="Dourados"/>
    <s v="Origem: Prefeito de Dourados. Solicitado para agilizar a pedido do Diretor Paulo. Id do projeto: 1847426. Tipo de projeto: subestação atendimento carga. Reapresentação do projeto elétrico para renovação de aprovação ( projeto PE 23867/22 Escola Avani)._x000a__x000a_PROJETADO APROVADO EM 13/05, AÇÃO FINALIZADA."/>
    <d v="2026-06-22T00:00:00"/>
    <s v="Monike, gentileza confirmar e garantir que a prefeitura recebeu o orçamento. Finalizado em 12/06 e esta aguardando aprovação do cliente._x000a__x000a_Origem: Prefeito de Dourados. Solicitado para agilizar a pedido do Diretor Paulo. Id do projeto: 1847426. Tipo de projeto: subestação atendimento carga. Reapresentação do projeto elétrico para renovação de aprovação ( projeto PE 23867/22 Escola Avani)."/>
    <d v="2026-08-13T00:00:00"/>
    <m/>
    <m/>
    <m/>
    <m/>
    <s v="Monike Chaves"/>
    <s v="Gabriella Domingo"/>
    <s v="Prefeito Marçal Filho"/>
    <s v="Paulo Roberto dos Santos"/>
    <s v="Não"/>
    <s v="Visita Domo de Ferro"/>
    <d v="2026-09-03T00:00:00"/>
    <s v="Moacir Costa Neto"/>
    <d v="2026-08-13T00:00:00"/>
    <s v="Gabriella Amorim Domingo"/>
    <n v="100"/>
    <n v="100"/>
    <n v="100"/>
    <s v=""/>
    <m/>
    <s v=""/>
    <s v="DOURADOS"/>
    <n v="139"/>
    <s v="&gt;50 dias"/>
    <s v="Dentro"/>
    <s v="Não risco"/>
    <e v="#VALUE!"/>
    <n v="52"/>
  </r>
  <r>
    <s v="934"/>
    <s v="Visita Domo de Ferro"/>
    <x v="4"/>
    <s v="DESC"/>
    <d v="2026-04-05T00:00:00"/>
    <s v="Monike Chaves"/>
    <s v="Finalizada"/>
    <x v="1"/>
    <s v=""/>
    <s v=""/>
    <s v=""/>
    <s v="SUL"/>
    <s v="Jateí"/>
    <s v="Prefeitura"/>
    <s v="Jateí"/>
    <s v="Visita realizada pelo Projeto Integrar - Registro ID 38"/>
    <d v="2026-07-31T00:00:00"/>
    <s v="Analisar os itens abaixo conforme reunião pelo projeto integrar realizado m abril._x000a__x000a_1 - Sobre a carreta &quot;Nossa Energia&quot; da Eficiência Energética. Prefeita demonstrou interesse, solicitei para que ela sugerisse uma data para a realização de uma ação na cidade. (11 de Novembro é o aniversário da cidade)._x000a_2 - Hotel na frente da praça: Prefeita citou que esse hotel é do mesmo dono do restaurante, a solicitação está no nome do solicitante: Edson Alves dos Santos (67 99698-3121). Prefeita pediu para agilizar esse pedido._x000a_3 - A unidade consumidora do restaurante (mesmo dono), alega estar com problemas de tensão, iremos checar para ver se temos histórico deste pedido. Proprietário: Edson Alves dos Santos (67 99698-3121)_x000a_4 - A Prefeita solicita a alteração dos nomes das unidades consumidoras da Prefeitura, de forma a facilitar a gestão do município na hora de pagar as despesas (Posto de Saúde, Creche, Escola, Prefeitura)._x000a_5 - Loteamento Portal do Sol: As referências elétricas são: TD(748480) // TD(748483) - GDO02. Analisar as causas e constatar se pode ser algum aumento de carga à revelia._x000a_6 - &quot;Gleba Nova Esperança: Alegam constantes interrupções nesta região, alegam que lá existe uma escola com mais de 200 alunos e que vem sofrendo com constantes quedas de energia._x000a_&quot;_x000a_7 - &quot;Gleba Nova Esperança: Informaram que existe uma demanda para troca de postes de madeira de eucalipto. Informações que iriamos checar o status dessa demanda e dar uma devolutiva._x000a_&quot;_x000a_8 - Usina solar da Prefeitura: Definimos que iremos checar como está a atual distribuição dos créditos entre as unidades da Prefeitura, e apoiar a gestão do município em eventual correção dos pesos._x000a_9 - Definimos que faremos uma consulta regulatório para saber se a Prefeitura pode entrar no mesmo regime de cooperativa, de forma a permitir ceder parte dos créditos para os munícipes._x000a_10 - Prefeita deseja utilizar os créditos de sua usina solar para abater a Cosip, caso não seja viável, deseja uma alternativa de isentar as famílias de baixa renda. Monike explicou que existe uma Portaria que ampara esse assunto, a se comprometeu a compartilh_x000a_11 - &quot;Em razão do município de Jateí possuir uma Prefeita, e da maioria da câmara ser composta por mulheres, a Prefeitura questionou se não é possível alguma ação social voltada para o público feminino no município."/>
    <d v="2026-08-13T00:00:00"/>
    <s v="TODAS AS AÇÕES CONCLUÍDAS E A PREFEITA CIENTE, INFORMAÇÃO DA GESTORA MONIKE"/>
    <d v="2026-08-07T00:00:00"/>
    <m/>
    <d v="2026-08-13T00:00:00"/>
    <s v="Monike Chaves"/>
    <s v="Bruna Santos"/>
    <m/>
    <s v="Diego Souza Silva"/>
    <s v="Não"/>
    <s v="Visita Domo de Ferro"/>
    <d v="2026-09-03T00:00:00"/>
    <s v="Moacir Costa Neto"/>
    <d v="2026-08-13T00:00:00"/>
    <s v="Bruna Fabiana Braguin dos Santos"/>
    <n v="100"/>
    <n v="100"/>
    <n v="62.5"/>
    <s v=""/>
    <m/>
    <s v=""/>
    <s v="DOURADOS"/>
    <n v="169"/>
    <s v="&gt;50 dias"/>
    <s v="Fora"/>
    <s v="Não risco"/>
    <s v="Sim"/>
    <n v="13"/>
  </r>
  <r>
    <s v="982"/>
    <s v="Visita Domo de Ferro"/>
    <x v="4"/>
    <s v="Central do Cliente"/>
    <d v="2026-07-28T00:00:00"/>
    <s v="Availdo Taveira de Oliveira"/>
    <s v="Finalizada"/>
    <x v="1"/>
    <s v=""/>
    <s v=""/>
    <s v=""/>
    <s v="NORTE"/>
    <s v="Miranda"/>
    <s v="Prefeitura"/>
    <s v="Miranda"/>
    <s v="Visita instiucional pelos supervisores pelo PROJETO INTEGRAR._x000a__x000a_SEM DEMANDAS A TRATAR._x000a__x000a_Central do Cliente (11/08/202): Informação. Visita institucional pelos supervisores pelo PROJETO INTEGRAR. Sem demandas a tratar."/>
    <d v="2026-08-11T00:00:00"/>
    <s v="Informação. Visita institucional pelos supervisores pelo PROJETO INTEGRAR. Sem demandas a tratar."/>
    <d v="2026-08-11T00:00:00"/>
    <s v="Informação. Visita institucional pelos supervisores pelo PROJETO INTEGRAR. Sem demandas a tratar."/>
    <m/>
    <m/>
    <d v="2026-08-11T00:00:00"/>
    <s v="Wander Idalino Machado"/>
    <s v="Wander Machado"/>
    <s v="Pela Energisa:Availdo, Supervisor Marcos Luglio e Ermenson_x000a_Pela Prefeitura: Secretario de obras Valter, Felipe - Panejamento e Secretaria de finanças"/>
    <s v="Availdo Taveira de Oliveira, Marcos Antonio Luglio, Ermenson Almeida de Arruda"/>
    <s v="Não"/>
    <s v="Visita Domo de Ferro"/>
    <d v="2026-09-03T00:00:00"/>
    <s v="Moacir Costa Neto"/>
    <d v="2026-08-11T00:00:00"/>
    <s v="Wander Idalino Machado"/>
    <n v="100"/>
    <n v="100"/>
    <n v="100"/>
    <s v=""/>
    <m/>
    <s v=""/>
    <s v="AQUIDAUANA"/>
    <n v="55"/>
    <s v="&gt;50 dias"/>
    <s v="Dentro"/>
    <s v="Não risco"/>
    <s v="Sim"/>
    <n v="0"/>
  </r>
  <r>
    <s v="983"/>
    <s v="Visita Domo de Ferro"/>
    <x v="4"/>
    <s v="Central do Cliente"/>
    <d v="2026-07-29T00:00:00"/>
    <s v="Availdo Taveira de Oliveira"/>
    <s v="Finalizada"/>
    <x v="1"/>
    <s v=""/>
    <s v=""/>
    <s v=""/>
    <s v="CENTRO"/>
    <s v="Rochedo"/>
    <s v="Prefeitura"/>
    <s v="Rochedo"/>
    <s v="VISITA INSTITUCIONAL COM SUPERVISOR PELO PROJETO INTEGRAR_x000a_SEM DEMANDAS A TRATAR._x000a_Central do Cliente (1/08/2026): Informação. Visita institucional, sem demandas a tratar."/>
    <d v="2026-08-11T00:00:00"/>
    <s v="Informação. VISITA INSTITUCIONAL COM SUPERVISOR PELO PROJETO INTEGRAR._x000a_SEM DEMANDAS A TRATAR."/>
    <d v="2026-08-11T00:00:00"/>
    <s v="Informação. Visita institucional, sem demandas a tratar."/>
    <m/>
    <m/>
    <d v="2026-08-11T00:00:00"/>
    <s v="Wander Idalino Machado"/>
    <s v="Wander Machado"/>
    <s v="PREFEITURA  - SECRETARIA DE PLANEJAMENTO - CLAUDIA E SECREARIO DE OBRAS"/>
    <s v="Availdo Taveira de Oliveira, Tiago Portilho Rodrigues"/>
    <s v="Não"/>
    <s v="Visita Domo de Ferro"/>
    <d v="2026-09-03T00:00:00"/>
    <s v="Moacir Costa Neto"/>
    <d v="2026-08-11T00:00:00"/>
    <s v="Wander Idalino Machado"/>
    <n v="100"/>
    <n v="100"/>
    <n v="100"/>
    <s v=""/>
    <m/>
    <s v=""/>
    <s v="CAMPO GRANDE INTERIOR"/>
    <n v="54"/>
    <s v="&gt;50 dias"/>
    <s v="Dentro"/>
    <s v="Não risco"/>
    <s v="Sim"/>
    <n v="0"/>
  </r>
  <r>
    <s v="984"/>
    <s v="Visita Domo de Ferro"/>
    <x v="4"/>
    <s v="Central do Cliente"/>
    <d v="2026-08-03T00:00:00"/>
    <s v="Availdo Taveira de Oliveira"/>
    <s v="Finalizada"/>
    <x v="1"/>
    <s v=""/>
    <s v=""/>
    <s v=""/>
    <s v=""/>
    <s v="Nioaque"/>
    <s v="Prefeitura"/>
    <s v="Nioaque"/>
    <s v="REITERADO A NECESSIDADE DA ASSINATURA DO CONVENIO DE PODAS_x000a_SEM DEMANDAS A TRATAR._x000a_Central do Cliente (11/08/2026): Informação. Visita institucional. Sem demandas a tratar."/>
    <d v="2026-08-11T00:00:00"/>
    <s v="Informação. Visita institucional. Sem demandas a tratar."/>
    <d v="2026-08-11T00:00:00"/>
    <m/>
    <m/>
    <m/>
    <d v="2026-08-11T00:00:00"/>
    <s v="Wander Idalino Machado"/>
    <s v="Wander Machado"/>
    <s v="PELA ENERGIA: AVAILDO_x000a_PELA PREFEITURA: CHEFE DE GABINETE - JOSIANE, SECRETARIO DE FINANÇAS RAFAEL E PREFEITO ANDRE"/>
    <s v="Availdo Taveira de Oliveira"/>
    <s v="Não"/>
    <s v="Visita Domo de Ferro"/>
    <d v="2026-09-03T00:00:00"/>
    <s v="Moacir Costa Neto"/>
    <d v="2026-08-11T00:00:00"/>
    <s v="Wander Idalino Machado"/>
    <n v="100"/>
    <n v="100"/>
    <n v="100"/>
    <s v=""/>
    <m/>
    <s v=""/>
    <s v="JARDIM"/>
    <n v="49"/>
    <s v="&gt;50 dias"/>
    <s v="Dentro"/>
    <s v="Não risco"/>
    <e v="#VALUE!"/>
    <n v="0"/>
  </r>
  <r>
    <s v="985"/>
    <s v="Visita Domo de Ferro"/>
    <x v="4"/>
    <s v="Central do Cliente"/>
    <d v="2026-08-04T00:00:00"/>
    <s v="Availdo Taveira de Oliveira"/>
    <s v="Finalizada"/>
    <x v="1"/>
    <s v=""/>
    <s v=""/>
    <s v=""/>
    <s v="NORTE"/>
    <s v="BONITO"/>
    <s v="Prefeitura"/>
    <s v="Bonito"/>
    <s v="VISITA PROJETO INTEGRAR_x000a_SEM DEMANDAS A TRATAR._x000a_Central do Cliente (11/08/2026): Informação. Visita Projeto Integrar, sem demandas a tratar."/>
    <d v="2026-08-11T00:00:00"/>
    <s v="Informação. Visita Projeto Integrar, sem demandas a tratar."/>
    <d v="2026-08-18T00:00:00"/>
    <m/>
    <m/>
    <m/>
    <d v="2026-08-11T00:00:00"/>
    <s v="Wander Idalino Machado"/>
    <s v="Wander Machado"/>
    <s v="PELA ENERGISA: AVAILDO_x000a_PELA PREFEITURA: CHEFE DE GOVERNO JARY JUNIOR , SECRETARIO DE OBRAS MADSON E PROCURADORA DO MUNICIPIO"/>
    <s v="Availdo Taveira de Oliveira"/>
    <s v="Não"/>
    <s v="Visita Domo de Ferro"/>
    <d v="2026-09-03T00:00:00"/>
    <s v="Moacir Costa Neto"/>
    <d v="2026-08-18T00:00:00"/>
    <s v="Wander Idalino Machado"/>
    <n v="100"/>
    <n v="100"/>
    <n v="100"/>
    <s v=""/>
    <m/>
    <s v=""/>
    <s v="JARDIM"/>
    <n v="48"/>
    <s v="&gt;50 dias"/>
    <s v="Dentro"/>
    <s v="Não risco"/>
    <s v="Sim"/>
    <n v="7"/>
  </r>
  <r>
    <s v="985"/>
    <s v="Visita Domo de Ferro"/>
    <x v="4"/>
    <s v="Vazio"/>
    <d v="2026-08-04T00:00:00"/>
    <s v="Availdo Taveira de Oliveira"/>
    <s v="Finalizada"/>
    <x v="1"/>
    <s v=""/>
    <s v=""/>
    <s v=""/>
    <s v="NORTE"/>
    <s v="BONITO"/>
    <s v="Prefeitura"/>
    <s v="Bonito"/>
    <s v="VISITA PROJETO INTEGRAR_x000a_SEM DEMANDAS A TRATAR._x000a_Central do Cliente (11/08/2026): Informação. Visita Projeto Integrar, sem demandas a tratar."/>
    <d v="2026-08-11T00:00:00"/>
    <m/>
    <d v="2026-08-12T00:00:00"/>
    <s v="Informação. Visita Projeto Integrar, sem demandas a tratar."/>
    <m/>
    <m/>
    <d v="2026-08-11T00:00:00"/>
    <s v="Vazio"/>
    <s v="Wander Machado"/>
    <s v="PELA ENERGISA: AVAILDO_x000a_PELA PREFEITURA: CHEFE DE GOVERNO JARY JUNIOR , SECRETARIO DE OBRAS MADSON E PROCURADORA DO MUNICIPIO"/>
    <s v="Availdo Taveira de Oliveira"/>
    <s v="Não"/>
    <s v="Visita Domo de Ferro"/>
    <d v="2026-09-03T00:00:00"/>
    <s v="Moacir Costa Neto"/>
    <d v="2026-08-12T00:00:00"/>
    <s v="Wander Idalino Machado"/>
    <n v="100"/>
    <n v="100"/>
    <n v="100"/>
    <s v=""/>
    <m/>
    <s v=""/>
    <s v="JARDIM"/>
    <n v="48"/>
    <s v="&gt;50 dias"/>
    <s v="Dentro"/>
    <s v="Não risco"/>
    <s v="Sim"/>
    <n v="1"/>
  </r>
  <r>
    <s v="985"/>
    <s v="Visita Domo de Ferro"/>
    <x v="6"/>
    <s v="Vazio"/>
    <d v="2026-08-04T00:00:00"/>
    <s v="Availdo Taveira de Oliveira"/>
    <s v="Finalizada"/>
    <x v="2"/>
    <s v=""/>
    <s v=""/>
    <s v=""/>
    <s v="NORTE"/>
    <s v="BONITO"/>
    <s v="Prefeitura"/>
    <s v="Bonito"/>
    <s v="VISITA PROJETO INTEGRAR_x000a_SEM DEMANDAS A TRATAR._x000a_Central do Cliente (11/08/2026): Informação. Visita Projeto Integrar, sem demandas a tratar."/>
    <d v="2026-08-11T00:00:00"/>
    <m/>
    <m/>
    <m/>
    <m/>
    <m/>
    <m/>
    <s v="Vazio"/>
    <s v=""/>
    <s v="PELA ENERGISA: AVAILDO_x000a_PELA PREFEITURA: CHEFE DE GOVERNO JARY JUNIOR , SECRETARIO DE OBRAS MADSON E PROCURADORA DO MUNICIPIO"/>
    <s v="Availdo Taveira de Oliveira"/>
    <s v="Não"/>
    <s v="Visita Domo de Ferro"/>
    <d v="2026-09-03T00:00:00"/>
    <s v="Moacir Costa Neto"/>
    <d v="2026-08-11T00:00:00"/>
    <s v="Wander Idalino Machado"/>
    <n v="100"/>
    <n v="100"/>
    <n v="50"/>
    <s v=""/>
    <m/>
    <s v=""/>
    <s v="JARDIM"/>
    <n v="48"/>
    <s v="&gt;50 dias"/>
    <s v="Dentro"/>
    <s v="Não risco"/>
    <s v="Sim"/>
    <n v="41"/>
  </r>
  <r>
    <s v="149"/>
    <s v="Visita Domo de Ferro"/>
    <x v="4"/>
    <s v="DESC"/>
    <d v="2026-05-05T00:00:00"/>
    <s v="Giovani Moura Sousa"/>
    <s v="Finalizada"/>
    <x v="1"/>
    <s v="Câmara Municipal de Campo Grande"/>
    <s v=""/>
    <s v=""/>
    <s v="CENTRO"/>
    <s v="Campo Grande"/>
    <s v="Câmara"/>
    <s v="Campo Grande"/>
    <s v="Vereador questionou valor alto em conta de energia solar realacionado à taxa de iluminação pública."/>
    <d v="2026-05-12T00:00:00"/>
    <s v="Informar/Orientar que taxa de iluminação pública trata se de uma lei municipal. E mesmo cliente injetando não é isento de IP, o valor é cobrado conforme consumo."/>
    <d v="2026-05-12T00:00:00"/>
    <s v="Informar/Orientar que taxa de iluminação pública trata se de uma lei municipal. E mesmo cliente injetando não é isento de IP, o valor é cobrado conforme consumo."/>
    <m/>
    <m/>
    <m/>
    <s v="Vazio"/>
    <s v="Danila Souza"/>
    <s v="Vereador Rafael Tavares"/>
    <s v="Giovani Moura Sousa"/>
    <s v=""/>
    <s v="Visita Domo de Ferro"/>
    <d v="2026-09-03T00:00:00"/>
    <s v="Moacir Costa Neto"/>
    <d v="2026-05-12T00:00:00"/>
    <s v="Danila Hertal Moreira Souza"/>
    <n v="25"/>
    <n v="25"/>
    <n v="12.5"/>
    <s v=""/>
    <m/>
    <s v=""/>
    <s v="CAMPO GRANDE"/>
    <n v="139"/>
    <s v="&gt;50 dias"/>
    <s v="Dentro"/>
    <s v="Não risco"/>
    <e v="#VALUE!"/>
    <n v="0"/>
  </r>
  <r>
    <s v="152"/>
    <s v="Visita Domo de Ferro"/>
    <x v="3"/>
    <s v="DESC"/>
    <d v="2026-03-19T00:00:00"/>
    <s v="Giovani Moura Sousa"/>
    <s v="Finalizada"/>
    <x v="1"/>
    <s v="Câmara Municipal de Corumbá"/>
    <s v=""/>
    <s v=""/>
    <s v="NORTE"/>
    <s v="Corumbá"/>
    <s v="Câmara"/>
    <s v="Corumbá"/>
    <s v="Manutenção de postes &quot;tombados&quot; em assentamento próximo à Corumbá"/>
    <d v="2026-05-12T00:00:00"/>
    <s v="Manutenção de postes &quot;tombados&quot; em assentamento próximo à Corumbá"/>
    <d v="2026-05-12T00:00:00"/>
    <s v="Manutenção de postes &quot;tombados&quot; em assentamento próximo à Corumbá - Agente Giovani gentileza solicitar uma referência como unidade do local, também nome do assentamento. Adicional se possivel foto e coordenadas do local."/>
    <m/>
    <m/>
    <m/>
    <s v="Vazio"/>
    <s v="Danila Souza"/>
    <m/>
    <s v="Giovani Moura Sousa"/>
    <s v=""/>
    <s v="Visita Domo de Ferro"/>
    <d v="2026-09-03T00:00:00"/>
    <s v="Moacir Costa Neto"/>
    <d v="2026-05-12T00:00:00"/>
    <s v="Danila Hertal Moreira Souza"/>
    <n v="25"/>
    <n v="25"/>
    <n v="12.5"/>
    <s v=""/>
    <m/>
    <s v=""/>
    <s v="CORUMBA"/>
    <n v="186"/>
    <s v="&gt;50 dias"/>
    <s v="Dentro"/>
    <s v="Não risco"/>
    <e v="#VALUE!"/>
    <n v="0"/>
  </r>
  <r>
    <s v="158"/>
    <s v="Visita Domo de Ferro"/>
    <x v="5"/>
    <s v="Central do Cliente"/>
    <d v="2026-03-17T00:00:00"/>
    <s v="Giovani Moura Sousa"/>
    <s v="Finalizada"/>
    <x v="1"/>
    <s v="Câmara Municipal de Ponta Porã"/>
    <s v=""/>
    <s v=""/>
    <s v="SUL"/>
    <s v="Ponta Porã"/>
    <s v="Câmara"/>
    <s v="Ponta Porã"/>
    <s v="Vereadora solicita podas no assentamento Itamarati e melhoria na qualidade de fornecimento da energia elétrica."/>
    <d v="2026-05-13T00:00:00"/>
    <s v="Vereadora solicita podas no assentamento Itamarati e melhoria na qualidade de fornecimento da energia elétrica. Vereadora precisa informar unidades dos reclamantes, se possivel foto dos pontos, coordenadas."/>
    <m/>
    <m/>
    <m/>
    <m/>
    <m/>
    <s v="Giovani Moura Sousa"/>
    <s v=""/>
    <s v="Vereadora Nathalia_x000a_Giovani Energisa_x000a_Fabrício Almeida Eneegisa"/>
    <s v="Giovani Moura Sousa"/>
    <s v=""/>
    <s v="Visita Domo de Ferro"/>
    <d v="2026-08-15T00:00:00"/>
    <s v="Moacir Costa Neto"/>
    <d v="2026-05-13T00:00:00"/>
    <s v="Danila Hertal Moreira Souza"/>
    <n v="25"/>
    <n v="25"/>
    <n v="12.5"/>
    <s v=""/>
    <m/>
    <s v=""/>
    <s v="PONTA PORA"/>
    <n v="188"/>
    <s v="&gt;50 dias"/>
    <s v="Dentro"/>
    <s v="Não risco"/>
    <e v="#VALUE!"/>
    <n v="131"/>
  </r>
  <r>
    <s v="191"/>
    <s v="Visita Domo de Ferro"/>
    <x v="0"/>
    <s v="Central do Cliente"/>
    <d v="2026-04-08T00:00:00"/>
    <s v="Danila Hertal Moreira Souza"/>
    <s v="Finalizada"/>
    <x v="1"/>
    <s v=""/>
    <s v=""/>
    <s v="0102505237"/>
    <s v="CENTRO"/>
    <s v="Campo Grande"/>
    <s v="Prefeitura"/>
    <s v="Campo Grande"/>
    <s v="Recebido pelo whats - Obra era na primeira semana de abril, depois passaram para  15 de abril e depois para 30 de abril Sera que vc consegue antecipar isso?  Eles tem que entregar as casas , ja estao vendidas"/>
    <d v="2026-05-11T00:00:00"/>
    <s v="Verificar conclusão da obra e ligação"/>
    <d v="2026-06-24T00:00:00"/>
    <s v="0102505237"/>
    <d v="2026-05-04T00:00:00"/>
    <m/>
    <d v="2026-05-04T00:00:00"/>
    <s v="Danila Hertal Moreira Souza"/>
    <s v="Rafaela Almeida"/>
    <m/>
    <s v="Danila Hertal Moreira Souza"/>
    <s v=""/>
    <s v="Visita Domo de Ferro"/>
    <d v="2026-09-03T00:00:00"/>
    <s v="Moacir Costa Neto"/>
    <d v="2026-06-24T00:00:00"/>
    <s v="Rafaela Mattos de Almeida"/>
    <n v="100"/>
    <n v="100"/>
    <n v="100"/>
    <s v=""/>
    <m/>
    <s v=""/>
    <s v="CAMPO GRANDE"/>
    <n v="166"/>
    <s v="&gt;50 dias"/>
    <s v="Dentro"/>
    <s v="Não risco"/>
    <e v="#VALUE!"/>
    <n v="44"/>
  </r>
  <r>
    <s v="204"/>
    <s v="Visita Domo de Ferro"/>
    <x v="1"/>
    <s v="Central do Cliente"/>
    <d v="2026-04-13T00:00:00"/>
    <s v="Gabriella Amorim Domingo"/>
    <s v="Finalizada"/>
    <x v="1"/>
    <s v="Prefeitura de Alcinópolis"/>
    <s v=""/>
    <s v=""/>
    <s v="CENTRO"/>
    <s v="Alcinópolis"/>
    <s v="Prefeitura"/>
    <s v="Alcinópolis"/>
    <s v="Obra 0452600083. Agilizar uma obra . Expectativa ate 01/05, solicitado pelo Gestor Availdo"/>
    <d v="2026-06-22T00:00:00"/>
    <s v="Obra 0452600083 concluída em 08/06. Gerado OS nº 540357518 a atendida em 15/06. Gerado UC 3838986._x000a__x000a_Obra 0452600083. Agilizar uma obra . Expectativa ate 01/05, solicitado pelo Gestor Availdo"/>
    <m/>
    <m/>
    <m/>
    <m/>
    <m/>
    <s v="Danila Hertal Moreira Souza"/>
    <s v=""/>
    <m/>
    <s v="Gabriella Amorim Domingo"/>
    <s v=""/>
    <s v="Visita Domo de Ferro"/>
    <d v="2026-09-03T00:00:00"/>
    <s v="Moacir Costa Neto"/>
    <d v="2026-06-22T00:00:00"/>
    <s v="Danila Hertal Moreira Souza"/>
    <n v="100"/>
    <n v="100"/>
    <n v="50"/>
    <s v=""/>
    <m/>
    <s v=""/>
    <s v="COSTA RICA"/>
    <n v="161"/>
    <s v="&gt;50 dias"/>
    <s v="Dentro"/>
    <s v="Não risco"/>
    <e v="#VALUE!"/>
    <n v="91"/>
  </r>
  <r>
    <s v="204"/>
    <s v="Visita Domo de Ferro"/>
    <x v="1"/>
    <s v="DCMD"/>
    <d v="2026-04-13T00:00:00"/>
    <s v="Gabriella Amorim Domingo"/>
    <s v="Finalizada"/>
    <x v="1"/>
    <s v=""/>
    <s v=""/>
    <s v="0452600083"/>
    <s v="CENTRO"/>
    <s v="Alcinópolis"/>
    <s v="Prefeitura"/>
    <s v="Alcinópolis"/>
    <s v="Obra 0452600083. Agilizar uma obra . Expectativa ate 01/05, solicitado pelo Gestor Availdo"/>
    <d v="2026-05-11T00:00:00"/>
    <s v="Obra 0452600083. Agilizar uma obra . Expectativa ate 01/05, solicitado pelo Gestor Availdo"/>
    <d v="2026-08-13T00:00:00"/>
    <m/>
    <d v="2026-05-01T00:00:00"/>
    <m/>
    <d v="2026-06-08T00:00:00"/>
    <s v="Felipe Souza do Nascimento"/>
    <s v="Gabriella Domingo"/>
    <m/>
    <s v="Gabriella Amorim Domingo"/>
    <s v=""/>
    <s v="Visita Domo de Ferro"/>
    <d v="2026-09-03T00:00:00"/>
    <s v="Moacir Costa Neto"/>
    <d v="2026-08-13T00:00:00"/>
    <s v="Gabriella Amorim Domingo"/>
    <n v="100"/>
    <n v="100"/>
    <n v="100"/>
    <s v=""/>
    <m/>
    <s v=""/>
    <s v="COSTA RICA"/>
    <n v="161"/>
    <s v="&gt;50 dias"/>
    <s v="Fora"/>
    <s v="Não risco"/>
    <e v="#VALUE!"/>
    <n v="94"/>
  </r>
  <r>
    <s v="266"/>
    <s v="Visita Domo de Ferro"/>
    <x v="0"/>
    <s v="Central do Cliente"/>
    <d v="2026-05-12T00:00:00"/>
    <s v="Giovani Moura Sousa"/>
    <s v="Finalizada"/>
    <x v="1"/>
    <s v="Câmara Municipal de Campo Grande"/>
    <s v=""/>
    <s v=""/>
    <s v="CENTRO"/>
    <s v="Campo Grande"/>
    <s v="Câmara"/>
    <s v="Campo Grande"/>
    <s v="Vereador Clodoilson solicitou apoio para extensão de rede em bairro de Campo Grande. Na ocasião informou que já existem os postes, que faltam somente lançar os cabos e instalar as luminérias nos postes. Comunicamos pra ele que este processo deverá ter início a priori na Secretaria de Obras de Campo Grande. Depois de aprovado o orçamento da concessionária, executamos as instalações."/>
    <d v="2026-05-13T00:00:00"/>
    <s v="Reunião realizada para orientação que essa solicitação é registrado pela prefeitura. Vereador ficou ciente e esclarecido."/>
    <d v="2026-06-22T00:00:00"/>
    <m/>
    <d v="2026-06-16T00:00:00"/>
    <m/>
    <d v="2026-06-14T00:00:00"/>
    <s v="Giovani Moura Sousa"/>
    <s v="Rafaela Almeida"/>
    <s v="Vereador Clodoilson_x000a_Giovani Energisa"/>
    <s v="Giovani Moura Sousa"/>
    <s v=""/>
    <s v="Visita Domo de Ferro"/>
    <d v="2026-09-03T00:00:00"/>
    <s v="Moacir Costa Neto"/>
    <d v="2026-06-22T00:00:00"/>
    <s v="Rafaela Mattos de Almeida"/>
    <n v="25"/>
    <n v="25"/>
    <n v="25"/>
    <s v=""/>
    <m/>
    <s v=""/>
    <s v="CAMPO GRANDE"/>
    <n v="132"/>
    <s v="&gt;50 dias"/>
    <s v="Dentro"/>
    <s v="Não risco"/>
    <e v="#VALUE!"/>
    <n v="40"/>
  </r>
  <r>
    <s v="271"/>
    <s v="Visita Domo de Ferro"/>
    <x v="0"/>
    <s v="DCMD"/>
    <d v="2026-05-13T00:00:00"/>
    <s v="Danila Hertal Moreira Souza"/>
    <s v="Finalizada"/>
    <x v="1"/>
    <s v="Prefeitura de Dourados"/>
    <s v=""/>
    <s v="0202600478"/>
    <s v="SUL"/>
    <s v="Dourados"/>
    <s v="Prefeitura"/>
    <s v="Dourados"/>
    <s v="Solicitação de prioridade da obra 0202600478 - Afastamento de Rede OS 510099267"/>
    <d v="2026-05-13T00:00:00"/>
    <s v="Origem: Thiago Balbio/Pres. Paulo. Solicitação de prioridade da obra 0202600478 - Afastamento de Rede OS 510099267. Expectativa do cliente:  o quanto antes essas, lançado no priorizador 31/05."/>
    <d v="2026-06-11T00:00:00"/>
    <s v="OBRA CONCLUIDA 0202600478"/>
    <d v="2026-05-31T00:00:00"/>
    <d v="2026-05-16T00:00:00"/>
    <d v="2026-05-16T00:00:00"/>
    <s v="Felipe Souza do Nascimento"/>
    <s v="Felipe Nascimento"/>
    <s v="Prefeito Marçal Filho"/>
    <s v="Danila Hertal Moreira Souza"/>
    <s v=""/>
    <s v="Visita Domo de Ferro"/>
    <d v="2026-09-03T00:00:00"/>
    <s v="Moacir Costa Neto"/>
    <d v="2026-06-11T00:00:00"/>
    <s v="Felipe Souza do Nascimento"/>
    <n v="100"/>
    <n v="100"/>
    <n v="50"/>
    <s v=""/>
    <m/>
    <s v=""/>
    <s v="DOURADOS"/>
    <n v="131"/>
    <s v="&gt;50 dias"/>
    <s v="Dentro"/>
    <s v="Não risco"/>
    <e v="#VALUE!"/>
    <n v="29"/>
  </r>
  <r>
    <s v="273"/>
    <s v="Visita Domo de Ferro"/>
    <x v="0"/>
    <s v="DCMD"/>
    <d v="2026-05-13T00:00:00"/>
    <s v="Danila Hertal Moreira Souza"/>
    <s v="Finalizada"/>
    <x v="1"/>
    <s v=""/>
    <s v=""/>
    <s v="0202600481"/>
    <s v="SUL"/>
    <s v="Dourados"/>
    <s v="Prefeitura"/>
    <s v="Dourados"/>
    <s v="Origem: Thiago Balbio/Pres. Paulo. Solicitação de prioridade da obra 0202600481- Afastamento de Rede OS 510100341. Expectativa do cliente:  o quanto antes essas, lançado no priorizador 31/05."/>
    <d v="2026-05-13T00:00:00"/>
    <s v="Origem: Thiago Balbio/Pres. Paulo. Solicitação de prioridade da obra 0202600481- Afastamento de Rede OS 510100341. Expectativa do cliente:  o quanto antes essas, lançado no priorizador 31/05"/>
    <d v="2026-08-13T00:00:00"/>
    <m/>
    <d v="2026-05-31T00:00:00"/>
    <d v="2026-05-18T00:00:00"/>
    <m/>
    <s v="Felipe Souza do Nascimento"/>
    <s v="Gabriella Domingo"/>
    <s v="Prefeito Marçal Filho"/>
    <s v="Danila Hertal Moreira Souza"/>
    <s v=""/>
    <s v="Visita Domo de Ferro"/>
    <d v="2026-09-03T00:00:00"/>
    <s v="Moacir Costa Neto"/>
    <d v="2026-08-13T00:00:00"/>
    <s v="Gabriella Amorim Domingo"/>
    <n v="100"/>
    <n v="100"/>
    <n v="100"/>
    <s v=""/>
    <m/>
    <s v=""/>
    <s v="DOURADOS"/>
    <n v="131"/>
    <s v="&gt;50 dias"/>
    <s v="Fora"/>
    <s v="Não risco"/>
    <e v="#VALUE!"/>
    <n v="92"/>
  </r>
  <r>
    <s v="293"/>
    <s v="Visita Domo de Ferro"/>
    <x v="1"/>
    <s v="ASPO"/>
    <d v="2026-02-23T00:00:00"/>
    <s v="Monike Chaves"/>
    <s v="Finalizada"/>
    <x v="1"/>
    <s v="Prefeitura de Glória de Dourados"/>
    <s v=""/>
    <s v=""/>
    <s v="SUL"/>
    <s v="Glória de Dourados"/>
    <s v="Prefeitura"/>
    <s v="Glória de Dourados"/>
    <s v="Agenda de Campo - Projeto Integrar"/>
    <d v="2026-05-18T00:00:00"/>
    <s v="Informamos ao Secretário sobre nossa obra prevista no plano de negócios 2026, prevendo a troca do transformador da SE."/>
    <m/>
    <m/>
    <m/>
    <m/>
    <m/>
    <s v="Monike Chaves"/>
    <s v=""/>
    <s v="Reunião realizada pelo Secretário de Obras."/>
    <s v="Diego Souza Silva, Thiago de Alvarenga Balbio"/>
    <s v=""/>
    <s v="Visita Domo de Ferro"/>
    <d v="2026-08-15T00:00:00"/>
    <s v="Moacir Costa Neto"/>
    <d v="2026-05-18T00:00:00"/>
    <s v="Danila Hertal Moreira Souza"/>
    <n v="100"/>
    <n v="100"/>
    <n v="50"/>
    <s v=""/>
    <m/>
    <s v=""/>
    <s v="NOVA ANDRADINA"/>
    <n v="210"/>
    <s v="&gt;50 dias"/>
    <s v="Dentro"/>
    <s v="Não risco"/>
    <s v="Sim"/>
    <n v="126"/>
  </r>
  <r>
    <s v="293"/>
    <s v="Visita Domo de Ferro"/>
    <x v="1"/>
    <s v="DESC"/>
    <d v="2026-02-23T00:00:00"/>
    <s v="Monike Chaves"/>
    <s v="Finalizada"/>
    <x v="1"/>
    <s v="Prefeitura de Glória de Dourados"/>
    <s v=""/>
    <s v=""/>
    <s v="SUL"/>
    <s v="Glória de Dourados"/>
    <s v="Prefeitura"/>
    <s v="Glória de Dourados"/>
    <s v="Agenda de Campo - Projeto Integrar"/>
    <d v="2026-05-18T00:00:00"/>
    <s v="Não houve pendências específicas passadas para nós na reunião, mas foi nos informado a intenção futura de solicitação de demandas de iluminação pública, de pronto respondemos solicitando que nos fosse antecipado o pedido o quanto antes para atendermos a expectativa da Prefeitura."/>
    <m/>
    <m/>
    <m/>
    <m/>
    <m/>
    <s v="Monike Chaves"/>
    <s v=""/>
    <s v="Reunião realizada pelo Secretário de Obras."/>
    <s v="Diego Souza Silva, Thiago de Alvarenga Balbio"/>
    <s v=""/>
    <s v="Visita Domo de Ferro"/>
    <d v="2026-08-15T00:00:00"/>
    <s v="Moacir Costa Neto"/>
    <d v="2026-05-18T00:00:00"/>
    <s v="Danila Hertal Moreira Souza"/>
    <n v="100"/>
    <n v="100"/>
    <n v="50"/>
    <s v=""/>
    <m/>
    <s v=""/>
    <s v="NOVA ANDRADINA"/>
    <n v="210"/>
    <s v="&gt;50 dias"/>
    <s v="Dentro"/>
    <s v="Não risco"/>
    <s v="Sim"/>
    <n v="126"/>
  </r>
  <r>
    <s v="316"/>
    <s v="Visita Domo de Ferro"/>
    <x v="4"/>
    <s v="DESC"/>
    <d v="2026-05-12T00:00:00"/>
    <s v="Availdo Taveira de Oliveira"/>
    <s v="Finalizada"/>
    <x v="1"/>
    <s v="Prefeitura de Inocência"/>
    <s v=""/>
    <s v=""/>
    <s v="CENTRO"/>
    <s v="Inocência"/>
    <s v="Prefeitura"/>
    <s v="Inocência"/>
    <s v="Com a prefeitura não restou demandas a serem tratadas. As obras mencionadas ja estão sendo tratadas pelo Rafael/novas conexões"/>
    <d v="2026-05-21T00:00:00"/>
    <s v="Com a prefeitura não restou demandas a serem tratadas. As obras mencionadas ja estão sendo tratadas pelo Rafael/novas conexões"/>
    <m/>
    <m/>
    <m/>
    <m/>
    <m/>
    <s v="Availdo Taveira de Oliveira"/>
    <s v=""/>
    <s v="Prefeito Toninho e Vice prefeito Henrique"/>
    <s v="Availdo Taveira de Oliveira"/>
    <s v=""/>
    <s v="Visita Domo de Ferro"/>
    <d v="2026-08-15T00:00:00"/>
    <s v="Moacir Costa Neto"/>
    <d v="2026-05-21T00:00:00"/>
    <s v="Danila Hertal Moreira Souza"/>
    <n v="100"/>
    <n v="100"/>
    <n v="50"/>
    <s v=""/>
    <m/>
    <s v=""/>
    <s v="PARANAIBA"/>
    <n v="132"/>
    <s v="&gt;50 dias"/>
    <s v="Dentro"/>
    <s v="Não risco"/>
    <e v="#VALUE!"/>
    <n v="123"/>
  </r>
  <r>
    <s v="318"/>
    <s v="Visita Domo de Ferro"/>
    <x v="2"/>
    <s v="DEOP"/>
    <d v="2026-05-20T00:00:00"/>
    <s v="Danila Hertal Moreira Souza"/>
    <s v="Finalizada"/>
    <x v="1"/>
    <s v=""/>
    <s v="2092832"/>
    <s v=""/>
    <s v="SUL"/>
    <s v="Amambai"/>
    <s v="Câmara"/>
    <s v="Amambai"/>
    <s v="Solicitado no grupo whats da central do cliente - demandas prioritárias pelo Artur Gandra/ DPRE Paulo Roberto para verificar a falta de água pela falta de energia. Oficio 026/2026 da Câmara Municipal de Amambai para a Sanesul. _x000a_segue atualização deste caso de AMAMBAI:_x000a_- 8 Podas;_x000a_- Retensionamento de 1 vão;_x000a_- 150 metros de limpeza de faixa._x000a__x000a_Agendado desligamento programado para execução em 09/06."/>
    <d v="2026-05-21T00:00:00"/>
    <s v="Solicitado no grupo whats da central do cliente - demandas prioritárias pelo Artur Gandra/ DPRE Paulo Roberto para verificar a falta de água pela falta de energia. Oficio 026/2026 da Câmara Municipal de Amambai para a Sanesul. O Diego sanalizou que será inspecionado hoje 21/05."/>
    <d v="2026-08-06T00:00:00"/>
    <m/>
    <m/>
    <m/>
    <m/>
    <s v="Diego Souza Silva"/>
    <s v="Marcelly Franca"/>
    <m/>
    <s v="Danila Hertal Moreira Souza"/>
    <s v=""/>
    <s v="Visita Domo de Ferro"/>
    <d v="2026-09-03T00:00:00"/>
    <s v="Moacir Costa Neto"/>
    <d v="2026-08-06T00:00:00"/>
    <s v="Marcelly Arce Avalo Franca"/>
    <n v="25"/>
    <n v="25"/>
    <n v="25"/>
    <s v=""/>
    <m/>
    <s v=""/>
    <s v="PONTA PORA"/>
    <n v="124"/>
    <s v="&gt;50 dias"/>
    <s v="Dentro"/>
    <s v="Não risco"/>
    <e v="#VALUE!"/>
    <n v="77"/>
  </r>
  <r>
    <s v="326"/>
    <s v="Visita Domo de Ferro"/>
    <x v="0"/>
    <s v="Central do Cliente"/>
    <d v="2026-05-21T00:00:00"/>
    <s v="Giovani Moura Sousa"/>
    <s v="Finalizada"/>
    <x v="1"/>
    <s v="Câmara Municipal de Campo Grande"/>
    <s v=""/>
    <s v=""/>
    <s v="CENTRO"/>
    <s v="Campo Grande"/>
    <s v="Câmara"/>
    <s v="Campo Grande"/>
    <s v="O vereador foi comunicado que a obra terá um custo para o cliente. Inicialmente eles estavam pedindo a isenção de custos, mas em reunião com o Paulo ficou decidido que haverá sim custos para o cliente."/>
    <d v="2026-06-01T00:00:00"/>
    <s v="O vereador foi comunicado que a obra terá um custo para o cliente. Inicialmente eles estavam pedindo a isenção de custos, mas em reunião com o Paulo ficou decidido que haverá sim custos para o cliente."/>
    <d v="2026-06-22T00:00:00"/>
    <m/>
    <d v="2026-06-16T00:00:00"/>
    <m/>
    <d v="2026-06-14T00:00:00"/>
    <s v="Giovani Moura Sousa"/>
    <s v="Rafaela Almeida"/>
    <s v="Vereador Neto Santos_x000a_Giovani Moura Energisa"/>
    <s v="Giovani Moura Sousa"/>
    <s v=""/>
    <s v="Visita Domo de Ferro"/>
    <d v="2026-09-03T00:00:00"/>
    <s v="Moacir Costa Neto"/>
    <d v="2026-06-22T00:00:00"/>
    <s v="Rafaela Mattos de Almeida"/>
    <n v="25"/>
    <n v="25"/>
    <n v="25"/>
    <s v=""/>
    <m/>
    <s v=""/>
    <s v="CAMPO GRANDE"/>
    <n v="123"/>
    <s v="&gt;50 dias"/>
    <s v="Dentro"/>
    <s v="Não risco"/>
    <e v="#VALUE!"/>
    <n v="21"/>
  </r>
  <r>
    <s v="334"/>
    <s v="Visita Domo de Ferro"/>
    <x v="4"/>
    <s v="DESC"/>
    <d v="2026-05-13T00:00:00"/>
    <s v="Avanildo do Nascimento Junior"/>
    <s v="Finalizada"/>
    <x v="1"/>
    <s v="Prefeitura de Paranaíba"/>
    <s v=""/>
    <s v=""/>
    <s v=""/>
    <s v="Paranaíba"/>
    <s v="Prefeitura"/>
    <s v="Paranaíba"/>
    <s v="Assunto foram obras que ja estão em execução e assuntos diversos( orientação sobre iluminação pública, relocação de rede entre outros) Não havendo demandas a serem tratadas e ou priorizadas pela central."/>
    <d v="2026-06-09T00:00:00"/>
    <s v="Assunto foram obras que ja estão em execução e assuntos diversos( orientação sobre iluminação pública, relocação de rede entre outros) Não havendo demandas a serem tratadas e ou priorizadas pela central."/>
    <m/>
    <m/>
    <m/>
    <m/>
    <m/>
    <s v="Availdo Taveira de Oliveira"/>
    <s v=""/>
    <s v="Jane  - secretaria de educação, Vinicius secretaria de obra e Vice prefeito barbosinha"/>
    <s v="Fabricio Andre Silva de Araujo, Maxwell Ferreira Ossuna, Gabriel Yuji Takahashi"/>
    <s v=""/>
    <s v="Visita Domo de Ferro"/>
    <d v="2026-08-15T00:00:00"/>
    <s v="Moacir Costa Neto"/>
    <d v="2026-06-09T00:00:00"/>
    <s v="Danila Hertal Moreira Souza"/>
    <n v="100"/>
    <n v="100"/>
    <n v="50"/>
    <s v=""/>
    <m/>
    <s v=""/>
    <s v="PARANAIBA"/>
    <n v="131"/>
    <s v="&gt;50 dias"/>
    <s v="Dentro"/>
    <s v="Não risco"/>
    <e v="#VALUE!"/>
    <n v="104"/>
  </r>
  <r>
    <s v="335"/>
    <s v="Visita Domo de Ferro"/>
    <x v="4"/>
    <s v="DESC"/>
    <d v="2026-05-14T00:00:00"/>
    <s v="Availdo Taveira de Oliveira"/>
    <s v="Finalizada"/>
    <x v="1"/>
    <s v="Câmara de vereadores"/>
    <s v=""/>
    <s v=""/>
    <s v=""/>
    <s v="Aparecida do Taboado"/>
    <s v="Câmara"/>
    <s v="Aparecida do Taboado"/>
    <s v="Visita foi para apresentar novo suervisor e coordenaação de opereração, beem como ouvir o presidente da camara e olher demandas._x000a_Também foi apresentado o supervisor de atendimento Maxwel que falou a respeito das melhorias implantadas em nosso loja de atendimento._x000a_Pela camara municipal não houve demanda que necessitasse de atuação e ou inclusão na central do cliente"/>
    <d v="2026-06-02T00:00:00"/>
    <s v="Visita foi para apresentar novo supervisor e coordenação de operação, bem como ouvir o presidente da câmara e colher demandas._x000a_Também foi apresentado o supervisor de atendimento Maxwel que falou a respeito das melhorias implantadas em nosso loja de atendimento._x000a_Pela camara municipal não houve demanda que necessitasse de atuação e ou inclusão na central do cliente"/>
    <m/>
    <m/>
    <m/>
    <m/>
    <m/>
    <s v="Availdo Taveira de Oliveira"/>
    <s v=""/>
    <s v="presidente da cama, Vereador Heberson Galter Custódio"/>
    <s v="Fabricio Cerchiari da Silva, Maxwell Ferreira Ossuna, Gabriel Yuji Takahashi"/>
    <s v=""/>
    <s v="Visita Domo de Ferro"/>
    <d v="2026-08-15T00:00:00"/>
    <s v="Moacir Costa Neto"/>
    <d v="2026-06-02T00:00:00"/>
    <s v="Danila Hertal Moreira Souza"/>
    <n v="25"/>
    <n v="25"/>
    <n v="12.5"/>
    <s v=""/>
    <m/>
    <s v=""/>
    <s v="PARANAIBA"/>
    <n v="130"/>
    <s v="&gt;50 dias"/>
    <s v="Dentro"/>
    <s v="Não risco"/>
    <e v="#VALUE!"/>
    <n v="111"/>
  </r>
  <r>
    <s v="364"/>
    <s v="Visita Domo de Ferro"/>
    <x v="3"/>
    <s v="DCMD"/>
    <d v="2026-05-26T00:00:00"/>
    <s v="Aline da Silva Mesquita"/>
    <s v="Em Andamento"/>
    <x v="0"/>
    <s v=""/>
    <s v=""/>
    <s v=""/>
    <s v="CENTRO"/>
    <s v="Campo Grande"/>
    <s v="Assembleia Legislativa"/>
    <s v="Campo Grande"/>
    <s v="OF. n° 0100/GAB JN/2026, e disparar para o DEOP e DCMD, oirgem: DPRE"/>
    <d v="2026-05-26T00:00:00"/>
    <s v=" manutenção da rede de energia elétrica, bem como a substituição do transformador da linha de transmissão localizada na Fazenda Palmeiras, Indubrasil, Vila Entrocamento, Campo Grande/MS (UC 10/1543-8)."/>
    <d v="2026-08-28T00:00:00"/>
    <m/>
    <d v="2026-06-15T00:00:00"/>
    <m/>
    <m/>
    <s v="Evair Rogerio da Conceição"/>
    <s v="Wander Machado"/>
    <s v="Aline Mesquita"/>
    <s v=""/>
    <s v=""/>
    <s v="Visita Domo de Ferro"/>
    <d v="2026-09-03T00:00:00"/>
    <s v="Moacir Costa Neto"/>
    <d v="2026-08-28T00:00:00"/>
    <s v="Wander Idalino Machado"/>
    <n v="100"/>
    <n v="100"/>
    <n v="100"/>
    <s v=""/>
    <m/>
    <s v=""/>
    <s v="CAMPO GRANDE"/>
    <n v="118"/>
    <s v="&gt;50 dias"/>
    <s v="Fora"/>
    <s v="Não risco"/>
    <e v="#VALUE!"/>
    <n v="94"/>
  </r>
  <r>
    <s v="364"/>
    <s v="Visita Domo de Ferro"/>
    <x v="2"/>
    <s v="DEOP"/>
    <d v="2026-05-26T00:00:00"/>
    <s v="Aline da Silva Mesquita"/>
    <s v="Em Andamento"/>
    <x v="1"/>
    <s v=""/>
    <s v=""/>
    <s v=""/>
    <s v="CENTRO"/>
    <s v="Campo Grande"/>
    <s v="Assembleia Legislativa"/>
    <s v="Campo Grande"/>
    <s v="OF. n° 0100/GAB JN/2026, e disparar para o DEOP e DCMD, oirgem: DPRE"/>
    <d v="2026-05-26T00:00:00"/>
    <s v=" manutenção da rede de energia elétrica, bem como a substituição do transformador da linha de transmissão localizada na Fazenda Palmeiras, Indubrasil, Vila Entrocamento, Campo Grande/MS (UC10/1543-8)."/>
    <d v="2026-08-13T00:00:00"/>
    <m/>
    <d v="2026-06-15T00:00:00"/>
    <m/>
    <d v="2026-08-13T00:00:00"/>
    <s v="Luan Henrique Soares Diniz Afonso"/>
    <s v="Bruna Santos"/>
    <s v="Aline Mesquita"/>
    <s v=""/>
    <s v=""/>
    <s v="Visita Domo de Ferro"/>
    <d v="2026-09-03T00:00:00"/>
    <s v="Moacir Costa Neto"/>
    <d v="2026-08-13T00:00:00"/>
    <s v="Bruna Fabiana Braguin dos Santos"/>
    <n v="100"/>
    <n v="100"/>
    <n v="100"/>
    <s v=""/>
    <m/>
    <s v=""/>
    <s v="CAMPO GRANDE"/>
    <n v="118"/>
    <s v="&gt;50 dias"/>
    <s v="Fora"/>
    <s v="Não risco"/>
    <e v="#VALUE!"/>
    <n v="79"/>
  </r>
  <r>
    <s v="388"/>
    <s v="Visita Domo de Ferro"/>
    <x v="3"/>
    <s v="DCMD"/>
    <d v="2026-05-29T00:00:00"/>
    <s v="Giovani Moura Sousa"/>
    <s v="Em Andamento"/>
    <x v="0"/>
    <s v=""/>
    <s v=""/>
    <s v=""/>
    <s v="SUL"/>
    <s v="Amambai"/>
    <s v="Câmara"/>
    <s v="Amambai"/>
    <s v="Reunião solicitada pelo Vereador Paulo Sérgio para melhorias da qualidade de energia na área rural de Amambai e também comércio e indústrias.  Solicitaram melhorias nas redes"/>
    <d v="2026-07-01T00:00:00"/>
    <s v="Reunião solicitada pelo Vereador Paulo Sérgio para melhorias da qualidade de energia na área rural de Amambai e também comércio e indústrias.  Solicitaram melhorias nas redes._x000a_ DEOP: Identificado apenas mais 2 blocos Rurais com expressiva quantidade de aberturas e ainda não contemplados no Plano de Manutenção (lista abaixo), os demais blocos já mapeados em com avanço de manutenção em 2026: RD(736506) - AMA01 - RD(8289) - CAA51."/>
    <d v="2026-08-28T00:00:00"/>
    <m/>
    <m/>
    <d v="2026-08-27T00:00:00"/>
    <m/>
    <s v="Evair Rogerio da Conceicao"/>
    <s v="Bruna Santos"/>
    <s v="Vereadores Paulo e Sizana"/>
    <s v="Giovani Moura Sousa"/>
    <s v=""/>
    <s v="Visita Domo de Ferro"/>
    <d v="2026-09-03T00:00:00"/>
    <s v="Moacir Costa Neto"/>
    <d v="2026-08-28T00:00:00"/>
    <s v="Bruna Fabiana Braguin dos Santos"/>
    <n v="25"/>
    <n v="25"/>
    <n v="25"/>
    <s v=""/>
    <m/>
    <s v=""/>
    <s v="PONTA PORA"/>
    <n v="115"/>
    <s v="&gt;50 dias"/>
    <s v="Dentro"/>
    <s v="Não risco"/>
    <e v="#VALUE!"/>
    <n v="58"/>
  </r>
  <r>
    <s v="388"/>
    <s v="Visita Domo de Ferro"/>
    <x v="2"/>
    <s v="DEOP"/>
    <d v="2026-05-29T00:00:00"/>
    <s v="Giovani Moura Sousa"/>
    <s v="Em Andamento"/>
    <x v="1"/>
    <s v=""/>
    <s v=""/>
    <s v=""/>
    <s v="SUL"/>
    <s v="Amambai"/>
    <s v="Câmara"/>
    <s v="Amambai"/>
    <s v="Reunião solicitada pelo Vereador Paulo Sérgio para melhorias da qualidade de energia na área rural de Amambai e também comércio e indústrias.  Solicitaram melhorias nas redes"/>
    <d v="2026-06-02T00:00:00"/>
    <s v="Reunião solicitada pelo Vereador Paulo Sérgio para melhorias da qualidade de energia na área rural de Amambai e também comércio e indústrias.  Solicitaram melhorias nas redes"/>
    <d v="2026-06-29T00:00:00"/>
    <m/>
    <m/>
    <m/>
    <m/>
    <s v="Gerson Mendes Ortiz"/>
    <s v="Gerson Ortiz"/>
    <s v="Vereadores Paulo e Sizana"/>
    <s v="Giovani Moura Sousa"/>
    <s v=""/>
    <s v="Visita Domo de Ferro"/>
    <d v="2026-09-03T00:00:00"/>
    <s v="Moacir Costa Neto"/>
    <d v="2026-06-29T00:00:00"/>
    <s v="Gerson Mendes Ortiz"/>
    <n v="25"/>
    <n v="25"/>
    <n v="62.5"/>
    <s v=""/>
    <m/>
    <s v=""/>
    <s v="PONTA PORA"/>
    <n v="115"/>
    <s v="&gt;50 dias"/>
    <s v="Dentro"/>
    <s v="Não risco"/>
    <e v="#VALUE!"/>
    <n v="27"/>
  </r>
  <r>
    <s v="448"/>
    <s v="Visita Domo de Ferro"/>
    <x v="5"/>
    <s v="DCMD"/>
    <d v="2025-12-09T00:00:00"/>
    <s v="Giovani Moura Sousa"/>
    <s v="Em Andamento"/>
    <x v="0"/>
    <s v=""/>
    <s v=""/>
    <s v=""/>
    <s v="SUL"/>
    <s v="Nova Alvorada do Sul"/>
    <s v="Prefeitura"/>
    <s v="Nova Alvorada do Sul"/>
    <s v="Origem Externa: Visita in loco_x000a_Nome do Solicitante: Prefeito Sr. José Paulo, Vereadores Junior Beraldi, Rodrigo Cowboi,_x000a_Rozidalia Reis, Nelson Fernandes secretário de Obras, Valdemar Rocha_x000a_Vice-Prefeito, Leandro Barbosa Presidente do sindicato Rural, Sandra Pereira da_x000a_associação comercial, Giliani Rodrigues, Emanuel e Sintia representantes da_x000a_Indústria Atvos._x000a_Número Ofício: N/A_x000a_OS: N/A_x000a_Manifestação: Foi realizado a visita in loco pelo Giovani e foi recebido a demanda de podas de árvores no trecho da BR 163 localizada entre Nova_x000a_Alvorada do Sul e a Ponte seca."/>
    <d v="2026-06-05T00:00:00"/>
    <s v="Manifestação: Foi realizado a visita in loco pelo Giovani e foi recebido a demanda de podas de árvores no trecho da BR 163 localizada entre Nova_x000a_Alvorada do Sul e a Ponte seca._x000a_Status atual: Em atuação campo (DEOP/DCMD)"/>
    <d v="2026-08-18T00:00:00"/>
    <s v="QUAL STATUS DAS AÇÕES DE CAMPO?"/>
    <m/>
    <m/>
    <m/>
    <s v="Evair Rogerio da Conceicao"/>
    <s v="Bruna Santos"/>
    <m/>
    <s v="Giovani Moura Sousa"/>
    <s v=""/>
    <s v="Visita Domo de Ferro"/>
    <d v="2026-08-18T00:00:00"/>
    <s v="Bruna Fabiana Braguin dos Santos"/>
    <d v="2026-08-18T00:00:00"/>
    <s v="Bruna Fabiana Braguin dos Santos"/>
    <n v="100"/>
    <n v="100"/>
    <n v="100"/>
    <s v=""/>
    <m/>
    <s v=""/>
    <s v="RIO BRILHANTE"/>
    <n v="286"/>
    <s v="&gt;50 dias"/>
    <s v="Dentro"/>
    <s v="Não risco"/>
    <e v="#VALUE!"/>
    <n v="74"/>
  </r>
  <r>
    <s v="449"/>
    <s v="Visita Domo de Ferro"/>
    <x v="2"/>
    <s v="DCMD"/>
    <d v="2025-12-01T00:00:00"/>
    <s v="Dian Cleiton de Brito"/>
    <s v="Em Andamento"/>
    <x v="0"/>
    <s v=""/>
    <s v=""/>
    <s v=""/>
    <s v="CENTRO"/>
    <s v="Inocência"/>
    <s v="Câmara"/>
    <s v="Inocência"/>
    <s v="Origem Externa: Câmara Municipal de Inocência_x000a_Nome do Solicitante: Valmes José de Carvalho_x000a_Número Ofício: 279/2025/GAB/CMI_x000a_Os: 479315607_x000a_Manifestação: Ofício encaminha solicitação de estudo visando solucionar as constantes quedas de energia na Rua Francklin Gomes da Silva, Jardim Bocaina, no município de Incoência._x000a__x000a_Domo de ferro: Foi realizado visita in loco pelo Dian, conversado com o Vice Prefeito Henrique e foi levantado as seguintes informações relacionadas a qualidade: Religamentos no município todo dia das 18 às 20hrs, Fábrica de gelo com oscilação e queima de equipamentos, trecho TD 734803 e Quedas de energia na R: Pernambuco em frente ao Mercado M &amp; M, casa da vereadora Joceana._x000a__x000a_Status atual: Em atuação campo (DEOP/DCMD)"/>
    <d v="2026-06-05T00:00:00"/>
    <s v="Domo de ferro: Foi realizado visita in loco pelo Dian, conversado com o Vice Prefeito Henrique e foi levantado as seguintes informações relacionadas a qualidade: Religamentos no município todo dia das 18 às 20hrs, Fábrica de gelo com oscilação e queima de equipamentos, trecho TD 734803 e Quedas de energia na R: Pernambuco em frente ao Mercado M &amp; M, casa da vereadora Joceana._x000a__x000a_Status atual: Em atuação campo (DEOP/DCMD)_x000a__x000a_QUAL STATUS DAS AÇÕES?"/>
    <d v="2026-08-18T00:00:00"/>
    <m/>
    <m/>
    <m/>
    <m/>
    <s v=" Evair Rogerio da Conceicao"/>
    <s v="Bruna Santos"/>
    <m/>
    <s v="Dian Cleiton de Brito"/>
    <s v=""/>
    <s v="Visita Domo de Ferro"/>
    <d v="2026-08-18T00:00:00"/>
    <s v="Bruna Fabiana Braguin dos Santos"/>
    <d v="2026-08-18T00:00:00"/>
    <s v="Bruna Fabiana Braguin dos Santos"/>
    <n v="25"/>
    <n v="25"/>
    <n v="25"/>
    <s v=""/>
    <m/>
    <s v=""/>
    <s v="PARANAIBA"/>
    <n v="294"/>
    <s v="&gt;50 dias"/>
    <s v="Dentro"/>
    <s v="Não risco"/>
    <e v="#VALUE!"/>
    <n v="74"/>
  </r>
  <r>
    <s v="455"/>
    <s v="Visita Domo de Ferro"/>
    <x v="3"/>
    <s v="DCMD"/>
    <d v="2025-12-09T00:00:00"/>
    <s v="Dian Cleiton de Brito"/>
    <s v="Em Andamento"/>
    <x v="0"/>
    <s v=""/>
    <s v=""/>
    <s v=""/>
    <s v="NORTE"/>
    <s v="BONITO"/>
    <s v="Prefeitura"/>
    <s v="Bonito"/>
    <s v="Origem Externa: Visita in loco_x000a__x000a_Nome do Solicitante: Prefeitura_x000a__x000a_Número Ofício: N/A_x000a__x000a_OS: N/A_x000a__x000a_Manifestação: Em visita realizada no município pelo Dian foram coletadas algumas demandas, segue as demandas solicitadas: Limpeza de faixa mecanizada - LM entre ID 9070606 e ID_x000a_9070607 (CRÍTICO), Lançado 450 MTS LIMPEZA de faixa LM entre ID 8615174 e ID_x000a_9046178 (URGENTE), Lançado 220 MTS limpeza de faixa LM entre ID 135469229 e ID_x000a_9046694 (URGENTE) e Lançado 300 MTS limpeza de faixa LM entre ID 9553699 e ID_x000a_9563035 (URGENTE)"/>
    <d v="2026-06-05T00:00:00"/>
    <s v="Manifestação: Em visita realizada no município pelo Dian foram coletadas algumas demandas, segue as demandas solicitadas: Limpeza de faixa mecanizada - LM entre ID 9070606 e ID_x000a_9070607 (CRÍTICO), Lançado 450 MTS LIMPEZA de faixa LM entre ID 8615174 e ID_x000a_9046178 (URGENTE), Lançado 220 MTS limpeza de faixa LM entre ID 135469229 e ID_x000a_9046694 (URGENTE) e Lançado 300 MTS limpeza de faixa LM entre ID 9553699 e ID_x000a_9563035 (URGENTE)_x000a_Status atual: Em atuação campo (DEOP/DCMD)_x000a__x000a_QUAL STATUS DAS AÇÕES?"/>
    <d v="2026-08-18T00:00:00"/>
    <m/>
    <m/>
    <m/>
    <m/>
    <s v="Evair Rogerio da Conceicao"/>
    <s v="Bruna Santos"/>
    <m/>
    <s v="Dian Cleiton de Brito"/>
    <s v=""/>
    <s v="Visita Domo de Ferro"/>
    <d v="2026-08-18T00:00:00"/>
    <s v="Bruna Fabiana Braguin dos Santos"/>
    <d v="2026-08-18T00:00:00"/>
    <s v="Bruna Fabiana Braguin dos Santos"/>
    <n v="100"/>
    <n v="100"/>
    <n v="100"/>
    <s v=""/>
    <m/>
    <s v=""/>
    <s v="JARDIM"/>
    <n v="286"/>
    <s v="&gt;50 dias"/>
    <s v="Dentro"/>
    <s v="Não risco"/>
    <e v="#VALUE!"/>
    <n v="74"/>
  </r>
  <r>
    <s v="456"/>
    <s v="Visita Domo de Ferro"/>
    <x v="5"/>
    <s v="DCMD"/>
    <d v="2025-12-09T00:00:00"/>
    <s v="Giovani Moura Sousa"/>
    <s v="Em Andamento"/>
    <x v="0"/>
    <s v=""/>
    <s v=""/>
    <s v=""/>
    <s v="CENTRO"/>
    <s v="Sidrolândia"/>
    <s v="Prefeitura"/>
    <s v="Sidrolândia"/>
    <s v="Origem Externa: Visita in loco_x000a_Nome do Solicitante: Secretário de Obras Sr. Cleyton_x000a_Número Ofício: N/A_x000a_OS: N/A_x000a_Manifestação: Foi realizado a visita in loco no município pelo Giovani e foi coletada a demanda de poda no Assentamento Eldorado II. Município Sidrolândia"/>
    <d v="2026-06-05T00:00:00"/>
    <s v="Status atual: Em atuação campo (DEOP/DCMD)_x000a_Manifestação: Foi realizado a visita in loco no município pelo Giovani e foi coletada a demanda de poda no Assentamento Eldorado II. Município Sidrolândia_x000a__x000a_QUAL STATUS DAS AÇÕES?"/>
    <d v="2026-08-18T00:00:00"/>
    <m/>
    <m/>
    <m/>
    <m/>
    <s v="Evair Rogerio da Conceicao"/>
    <s v="Bruna Santos"/>
    <m/>
    <s v="Giovani Moura Sousa"/>
    <s v=""/>
    <s v="Visita Domo de Ferro"/>
    <d v="2026-08-18T00:00:00"/>
    <s v="Bruna Fabiana Braguin dos Santos"/>
    <d v="2026-08-18T00:00:00"/>
    <s v="Bruna Fabiana Braguin dos Santos"/>
    <n v="100"/>
    <n v="100"/>
    <n v="100"/>
    <s v=""/>
    <m/>
    <s v=""/>
    <s v="CAMPO GRANDE INTERIOR"/>
    <n v="286"/>
    <s v="&gt;50 dias"/>
    <s v="Dentro"/>
    <s v="Não risco"/>
    <e v="#VALUE!"/>
    <n v="74"/>
  </r>
  <r>
    <s v="457"/>
    <s v="Visita Domo de Ferro"/>
    <x v="3"/>
    <s v="DCMD"/>
    <d v="2025-12-09T00:00:00"/>
    <s v="Dian Cleiton de Brito"/>
    <s v="Em Andamento"/>
    <x v="0"/>
    <s v=""/>
    <s v="2496509"/>
    <s v=""/>
    <s v="CENTRO"/>
    <s v="Inocência"/>
    <s v="Câmara"/>
    <s v="Inocência"/>
    <s v="Origem Externa: Visita in loco_x000a_Nome do Solicitante: Vereador Shell_x000a_Número Ofício: N/A_x000a_OS: N/A_x000a_Manifestação: Foi realizado a visita in loco pelo Dian e foi recebido a demanda de manutenção na UC 2496509, trata-se de um produtor de leite. UC 2496509 - Fazenda Santa Maria (Inocência)"/>
    <d v="2026-06-05T00:00:00"/>
    <s v="Status atual: Em atuação campo (DEOP/DCMD)_x000a_Manifestação: Foi realizado a visita in loco pelo Dian e foi recebido a demanda de manutenção na UC 2496509, trata-se de um produtor de leite. UC 2496509 - Fazenda Santa Maria (Inocência)_x000a__x000a_QUAL STATUS DAS AÇÕES?"/>
    <d v="2026-08-18T00:00:00"/>
    <m/>
    <m/>
    <m/>
    <m/>
    <s v="Evair Rogerio da Conceicao"/>
    <s v="Bruna Santos"/>
    <m/>
    <s v="Dian Cleiton de Brito"/>
    <s v=""/>
    <s v="Visita Domo de Ferro"/>
    <d v="2026-08-18T00:00:00"/>
    <s v="Bruna Fabiana Braguin dos Santos"/>
    <d v="2026-08-18T00:00:00"/>
    <s v="Bruna Fabiana Braguin dos Santos"/>
    <n v="25"/>
    <n v="25"/>
    <n v="25"/>
    <s v=""/>
    <m/>
    <s v=""/>
    <s v="PARANAIBA"/>
    <n v="286"/>
    <s v="&gt;50 dias"/>
    <s v="Dentro"/>
    <s v="Não risco"/>
    <e v="#VALUE!"/>
    <n v="74"/>
  </r>
  <r>
    <s v="458"/>
    <s v="Visita Domo de Ferro"/>
    <x v="3"/>
    <s v="DCMD"/>
    <d v="2025-12-10T00:00:00"/>
    <s v="Giovani Moura Sousa"/>
    <s v="Em Andamento"/>
    <x v="0"/>
    <s v=""/>
    <s v=""/>
    <s v=""/>
    <s v="CENTRO"/>
    <s v="Ribas do Rio Pardo"/>
    <s v="Prefeitura"/>
    <s v="Ribas do Rio Pardo"/>
    <s v="Origem Externa: Visita in loco_x000a_Nome do Solicitante: Prefeito Roberson e a Vereadora e Presidente da Câmara Sra. Tânia_x000a_Número Ofício: N/A_x000a_OS: N/A_x000a_Manifestação: Foi realizado a visita in loco pelo Giovani e foi recebido a demanda de poda na faixa de servidão no Ass. Nossa Senhora das Graças no município de Ribas do Rio Pardo."/>
    <d v="2026-06-05T00:00:00"/>
    <s v="Status atual: Em atuação campo (DEOP/DCMD)_x000a_Manifestação: Foi realizado a visita in loco pelo Giovani e foi recebido a demanda de poda na faixa de servidão no Ass. Nossa Senhora das Graças no município de Ribas do Rio Pardo._x000a__x000a_QUAL STATUS DAS AÇÕES?"/>
    <d v="2026-08-18T00:00:00"/>
    <m/>
    <m/>
    <m/>
    <m/>
    <s v="Evair Rogerio da Conceicao"/>
    <s v="Bruna Santos"/>
    <m/>
    <s v="Giovani Moura Sousa"/>
    <s v=""/>
    <s v="Visita Domo de Ferro"/>
    <d v="2026-08-18T00:00:00"/>
    <s v="Bruna Fabiana Braguin dos Santos"/>
    <d v="2026-08-18T00:00:00"/>
    <s v="Bruna Fabiana Braguin dos Santos"/>
    <n v="100"/>
    <n v="100"/>
    <n v="100"/>
    <s v=""/>
    <m/>
    <s v=""/>
    <s v="CAMPO GRANDE INTERIOR"/>
    <n v="285"/>
    <s v="&gt;50 dias"/>
    <s v="Dentro"/>
    <s v="Não risco"/>
    <e v="#VALUE!"/>
    <n v="74"/>
  </r>
  <r>
    <s v="459"/>
    <s v="Visita Domo de Ferro"/>
    <x v="2"/>
    <s v="DEOP"/>
    <d v="2025-12-10T00:00:00"/>
    <s v="Dian Cleiton de Brito"/>
    <s v="Em Andamento"/>
    <x v="2"/>
    <s v="Prefeitura Municipal Bonito"/>
    <s v=""/>
    <s v=""/>
    <s v="NORTE"/>
    <s v="BONITO"/>
    <s v="Prefeitura"/>
    <s v="Bonito"/>
    <s v="Origem Externa: Visita in loco_x000a_Nome do Solicitante: Prefeitura municipal_x000a_Número Ofício: N/A_x000a_OS: N/A_x000a_Manifestação: Foi realizado a visita in loco pelo Dian e foi recebido a demanda de qualidade no fornecimento -_x000a_Gruta do Lago Azul, Pousada Boyra, Bon Bom no município de Bonito."/>
    <d v="2026-08-18T00:00:00"/>
    <s v="GENTILEZA SEGUIR COM AS AÇÕES."/>
    <m/>
    <m/>
    <m/>
    <m/>
    <m/>
    <s v="Luan Henrique Soares Diniz Afonso"/>
    <s v=""/>
    <m/>
    <s v="Dian Cleiton de Brito"/>
    <s v=""/>
    <s v="Visita Domo de Ferro"/>
    <d v="2026-09-03T00:00:00"/>
    <s v="Moacir Costa Neto"/>
    <d v="2026-08-18T00:00:00"/>
    <s v="Bruna Fabiana Braguin dos Santos"/>
    <n v="100"/>
    <n v="100"/>
    <n v="50"/>
    <s v="Qualidade do produto"/>
    <m/>
    <s v="DEOP - QUALIDADE"/>
    <s v="JARDIM"/>
    <n v="285"/>
    <s v="&gt;50 dias"/>
    <s v="Dentro"/>
    <s v="Não risco"/>
    <e v="#VALUE!"/>
    <n v="34"/>
  </r>
  <r>
    <s v="533"/>
    <s v="Visita Domo de Ferro"/>
    <x v="4"/>
    <s v="DESC"/>
    <d v="2026-06-09T00:00:00"/>
    <s v="Giovani Moura Sousa"/>
    <s v="Finalizada"/>
    <x v="1"/>
    <s v=""/>
    <s v=""/>
    <s v=""/>
    <s v="CENTRO"/>
    <s v="Campo Grande"/>
    <s v="Câmara"/>
    <s v="Campo Grande"/>
    <s v="Visita ao Gabinete do Vereador para atendimento de demandas rotineiras oriundas de seu gabinete."/>
    <d v="2026-06-16T00:00:00"/>
    <s v="Visita ao Gabinete do Vereador para atendimento de demandas rotineiras oriundas de seu gabinete. (Visita de Cortesia)"/>
    <m/>
    <m/>
    <m/>
    <m/>
    <m/>
    <s v="Giovani Moura Sousa"/>
    <s v=""/>
    <s v="Vereador Carlão_x000a_Assessora Ilma_x000a_Giovani Moura"/>
    <s v="Giovani Moura Sousa"/>
    <s v=""/>
    <s v="Visita Domo de Ferro"/>
    <d v="2026-09-03T00:00:00"/>
    <s v="Moacir Costa Neto"/>
    <d v="2026-06-16T00:00:00"/>
    <s v="Danila Hertal Moreira Souza"/>
    <n v="25"/>
    <n v="25"/>
    <n v="12.5"/>
    <s v=""/>
    <m/>
    <s v=""/>
    <s v="CAMPO GRANDE"/>
    <n v="104"/>
    <s v="&gt;50 dias"/>
    <s v="Dentro"/>
    <s v="Não risco"/>
    <e v="#VALUE!"/>
    <n v="97"/>
  </r>
  <r>
    <s v="534"/>
    <s v="Visita Domo de Ferro"/>
    <x v="4"/>
    <s v="DESC"/>
    <d v="2026-06-09T00:00:00"/>
    <s v="Giovani Moura Sousa"/>
    <s v="Finalizada"/>
    <x v="1"/>
    <s v=""/>
    <s v=""/>
    <s v=""/>
    <s v="CENTRO"/>
    <s v="Campo Grande"/>
    <s v="Câmara"/>
    <s v="Campo Grande"/>
    <s v="Atendimento ao gabinete do vereador para trataivas das demandas solicitadas."/>
    <d v="2026-06-16T00:00:00"/>
    <s v="Atendimento ao gabinete do vereador para trataivas das demandas solicitadas. Visita de cortesia"/>
    <m/>
    <m/>
    <m/>
    <m/>
    <m/>
    <s v="Giovani Moura Sousa"/>
    <s v=""/>
    <s v="Vereador Rafael Tavares_x000a_Assessoria do gabinete_x000a_Giovani Moura"/>
    <s v="Giovani Moura Sousa"/>
    <s v=""/>
    <s v="Visita Domo de Ferro"/>
    <d v="2026-09-03T00:00:00"/>
    <s v="Moacir Costa Neto"/>
    <d v="2026-06-16T00:00:00"/>
    <s v="Danila Hertal Moreira Souza"/>
    <n v="25"/>
    <n v="25"/>
    <n v="12.5"/>
    <s v=""/>
    <m/>
    <s v=""/>
    <s v="CAMPO GRANDE"/>
    <n v="104"/>
    <s v="&gt;50 dias"/>
    <s v="Dentro"/>
    <s v="Não risco"/>
    <e v="#VALUE!"/>
    <n v="97"/>
  </r>
  <r>
    <s v="535"/>
    <s v="Visita Domo de Ferro"/>
    <x v="4"/>
    <s v="DESC"/>
    <d v="2026-06-09T00:00:00"/>
    <s v="Giovani Moura Sousa"/>
    <s v="Finalizada"/>
    <x v="1"/>
    <s v=""/>
    <s v=""/>
    <s v=""/>
    <s v="CENTRO"/>
    <s v="Campo Grande"/>
    <s v="Câmara"/>
    <s v="Campo Grande"/>
    <s v="Visita ao gabinete do Vereador para atendimento de demandas solicitadas junto à Concessionária"/>
    <d v="2026-06-16T00:00:00"/>
    <s v="Visita de Cortesia. Visita ao gabinete do Vereador para atendimento de demandas solicitadas junto à Concessionária"/>
    <m/>
    <m/>
    <m/>
    <m/>
    <m/>
    <s v="Giovani Moura Sousa"/>
    <s v=""/>
    <s v="Vereador marquinhos Trad"/>
    <s v="Giovani Moura Sousa"/>
    <s v=""/>
    <s v="Visita Domo de Ferro"/>
    <d v="2026-09-03T00:00:00"/>
    <s v="Moacir Costa Neto"/>
    <d v="2026-06-16T00:00:00"/>
    <s v="Danila Hertal Moreira Souza"/>
    <n v="25"/>
    <n v="25"/>
    <n v="12.5"/>
    <s v=""/>
    <m/>
    <s v=""/>
    <s v="CAMPO GRANDE"/>
    <n v="104"/>
    <s v="&gt;50 dias"/>
    <s v="Dentro"/>
    <s v="Não risco"/>
    <e v="#VALUE!"/>
    <n v="97"/>
  </r>
  <r>
    <s v="549"/>
    <s v="Visita Domo de Ferro"/>
    <x v="2"/>
    <s v="DEOP"/>
    <d v="2026-05-13T00:00:00"/>
    <s v="Dian Cleiton de Brito"/>
    <s v="Em Andamento"/>
    <x v="2"/>
    <s v=""/>
    <s v=""/>
    <s v=""/>
    <s v="SUL"/>
    <s v="Jateí"/>
    <s v="Prefeitura"/>
    <s v="Jateí"/>
    <s v="Origem: Dian Cleiton._x000a_Anexado apresentação das demandas realizada na visita junto a prefeita e o Dian Cleiton,_x000a_Em resumo das demandas em anexo são:_x000a_Qualidade - Sobrecarga Bairro Portal do Sol, nas referências elétricas TD 748480/748483/705324/705323/9631 - GD002._x000a_Falta de energia: Gleba Nova Esperança e tem uma escola com mais de 200 alunos. Referência elétricas: TD 35070/34501/719015/ NHS01._x000a_Manutenção: informaram que existe uma demanda para troca de postes de madeira de eucalipto. Foi informado a prefeitura que seria checado e seria dado uma devolutiva._x000a_Não contém anexos._x000a_Diagnóstico Qualidade (DEOP/DCMD)"/>
    <d v="2026-06-10T00:00:00"/>
    <s v="Qualidade - Sobrecarga Bairro Portal do Sol, nas referências elétricas TD 748480/748483/705324/705323/9631 - GD002._x000a_Falta de energia: Gleba Nova Esperança e tem uma escola com mais de 200 alunos. Referência elétricas: TD 35070/34501/719015/ NHS01._x000a_Manutenção: informaram que existe uma demanda para troca de postes de madeira de eucalipto. Foi informado a prefeitura que seria checado e seria dado uma devolutiva._x000a_Diagnóstico Qualidade (DEOP/DCMD)_x000a_QUAL STATUS DAS AÇÕES?"/>
    <d v="2026-08-18T00:00:00"/>
    <m/>
    <m/>
    <m/>
    <m/>
    <s v="Luan Henrique Soares Diniz Afonso"/>
    <s v="Bruna Santos"/>
    <s v="Prefeita de Jateí"/>
    <s v="Dian Cleiton de Brito"/>
    <s v=""/>
    <s v="Visita Domo de Ferro"/>
    <d v="2026-08-18T00:00:00"/>
    <s v="Bruna Fabiana Braguin dos Santos"/>
    <d v="2026-08-18T00:00:00"/>
    <s v="Bruna Fabiana Braguin dos Santos"/>
    <n v="100"/>
    <n v="100"/>
    <n v="100"/>
    <s v=""/>
    <m/>
    <s v=""/>
    <s v="DOURADOS"/>
    <n v="131"/>
    <s v="&gt;50 dias"/>
    <s v="Dentro"/>
    <s v="Não risco"/>
    <e v="#VALUE!"/>
    <n v="69"/>
  </r>
  <r>
    <s v="550"/>
    <s v="Visita Domo de Ferro"/>
    <x v="2"/>
    <s v="DCMD"/>
    <d v="2026-05-12T00:00:00"/>
    <s v="Giovani Moura Sousa"/>
    <s v="Em Andamento"/>
    <x v="2"/>
    <s v=""/>
    <s v="3742758"/>
    <s v=""/>
    <s v="SUL"/>
    <s v="Dourados"/>
    <s v="Câmara"/>
    <s v="Dourados"/>
    <s v="Origem: Agente de relacionamento Giovani Moura_x000a_Vereador solicitou revisão no sistema elétrico nos bairros Novo Horizonte e Altos do Indaiá em Dourados. Protocolo 9500628194. UC 3742758._x000a_Em atuação Campo (DEOP/DCMD)."/>
    <d v="2026-06-10T00:00:00"/>
    <s v="Origem: Agente de relacionamento Giovani Moura_x000a_Vereador solicitou revisão no sistema elétrico nos bairros Novo Horizonte e Altos do Indaiá em Dourados. Protocolo 9500628194. UC 3742758._x000a_Em atuação Campo (DEOP/DCMD)._x000a_QUAL STATUS DAS AÇÕES?"/>
    <d v="2026-08-18T00:00:00"/>
    <m/>
    <m/>
    <m/>
    <m/>
    <s v="Evair Rogerio da Conceicao"/>
    <s v="Bruna Santos"/>
    <s v="Vereador."/>
    <s v="Giovani Moura Sousa"/>
    <s v=""/>
    <s v="Visita Domo de Ferro"/>
    <d v="2026-08-18T00:00:00"/>
    <s v="Bruna Fabiana Braguin dos Santos"/>
    <d v="2026-08-18T00:00:00"/>
    <s v="Bruna Fabiana Braguin dos Santos"/>
    <n v="25"/>
    <n v="25"/>
    <n v="25"/>
    <s v=""/>
    <m/>
    <s v=""/>
    <s v="DOURADOS"/>
    <n v="132"/>
    <s v="&gt;50 dias"/>
    <s v="Dentro"/>
    <s v="Não risco"/>
    <e v="#VALUE!"/>
    <n v="69"/>
  </r>
  <r>
    <s v="550"/>
    <s v="Visita Domo de Ferro"/>
    <x v="2"/>
    <s v="DEOP"/>
    <d v="2026-05-12T00:00:00"/>
    <s v="Giovani Moura Sousa"/>
    <s v="Em Andamento"/>
    <x v="2"/>
    <s v=""/>
    <s v="3742758"/>
    <s v=""/>
    <s v="SUL"/>
    <s v="Dourados"/>
    <s v="Câmara"/>
    <s v="Dourados"/>
    <s v="Origem: Agente de relacionamento Giovani Moura_x000a_Vereador solicitou revisão no sistema elétrico nos bairros Novo Horizonte e Altos do Indaiá em Dourados. Protocolo 9500628194. UC 3742758._x000a_Em atuação Campo (DEOP/DCMD)."/>
    <d v="2026-06-10T00:00:00"/>
    <s v="Origem: Agente de relacionamento Giovani Moura_x000a_Vereador solicitou revisão no sistema elétrico nos bairros Novo Horizonte e Altos do Indaiá em Dourados. Protocolo 9500628194. UC 3742758._x000a_Em atuação Campo (DEOP/DCMD)._x000a_QUAL STATUS DAS AÇÕES?"/>
    <d v="2026-08-18T00:00:00"/>
    <m/>
    <m/>
    <m/>
    <m/>
    <s v="Luan Henrique Soares Diniz Afonso"/>
    <s v="Bruna Santos"/>
    <s v="Vereador."/>
    <s v="Giovani Moura Sousa"/>
    <s v=""/>
    <s v="Visita Domo de Ferro"/>
    <d v="2026-08-18T00:00:00"/>
    <s v="Bruna Fabiana Braguin dos Santos"/>
    <d v="2026-08-18T00:00:00"/>
    <s v="Bruna Fabiana Braguin dos Santos"/>
    <n v="25"/>
    <n v="25"/>
    <n v="25"/>
    <s v=""/>
    <m/>
    <s v=""/>
    <s v="DOURADOS"/>
    <n v="132"/>
    <s v="&gt;50 dias"/>
    <s v="Dentro"/>
    <s v="Não risco"/>
    <e v="#VALUE!"/>
    <n v="69"/>
  </r>
  <r>
    <s v="633"/>
    <s v="Visita Domo de Ferro"/>
    <x v="4"/>
    <s v="Central do Cliente"/>
    <d v="2026-06-16T00:00:00"/>
    <s v="Dian Cleiton de Brito"/>
    <s v="Finalizada"/>
    <x v="1"/>
    <s v="AMBIENTAL MS PANTANAL SPE S/A"/>
    <s v=""/>
    <s v="0502600350"/>
    <s v="SUL"/>
    <s v="Itaquiraí"/>
    <s v="Prefeitura"/>
    <s v="Itaquiraí"/>
    <s v="Prefeito solicita agilizar obra de estação elevatória de esgoto em Itaquirai._x000a_OS  526116221_x000a_Obra 0502600350"/>
    <d v="2026-06-19T00:00:00"/>
    <s v="Duplicidade de ID - esta em tratativa pelo ID 633_x000a_Prefeito solicita agilizar obra de estação elevatória de esgoto em Itaquirai._x000a_OS  526116221_x000a_Obra 0502600350"/>
    <m/>
    <m/>
    <m/>
    <m/>
    <m/>
    <s v="Danila Hertal Moreira Souza"/>
    <s v=""/>
    <s v="Thalles Tomazelli"/>
    <s v="Dian Cleiton de Brito"/>
    <s v=""/>
    <s v="Visita Domo de Ferro"/>
    <d v="2026-08-25T00:00:00"/>
    <s v="Moacir Costa Neto"/>
    <d v="2026-06-19T00:00:00"/>
    <s v="Danila Hertal Moreira Souza"/>
    <n v="100"/>
    <n v="100"/>
    <n v="50"/>
    <s v=""/>
    <m/>
    <s v=""/>
    <s v="NAVIRAI"/>
    <n v="97"/>
    <s v="&gt;50 dias"/>
    <s v="Dentro"/>
    <s v="Não risco"/>
    <e v="#VALUE!"/>
    <n v="94"/>
  </r>
  <r>
    <s v="639"/>
    <s v="Visita Domo de Ferro"/>
    <x v="4"/>
    <s v="Central do Cliente"/>
    <d v="2026-06-12T00:00:00"/>
    <s v="Aline da Silva Mesquita"/>
    <s v="Finalizada"/>
    <x v="1"/>
    <s v=""/>
    <s v=""/>
    <s v=""/>
    <s v="CENTRO"/>
    <s v="Campo Grande"/>
    <s v="Prefeitura"/>
    <s v="Campo Grande"/>
    <s v="Reunião realizada com o Secretário Municipal de Governo e Relações Institucionais, abordando sobre os débitos da SESAU, sobre a necessidade de alteração da LEI da COSIP para prever o Encontro de Contas, definição de ponto focal para os assuntos da secretária de educação para os pedidos de aumento de carga e a liberação/autorização para ligação do painel de LED no espaço Energia."/>
    <d v="2026-08-03T00:00:00"/>
    <s v="Informação. Reunião realizada com o Secretário Municipal de Governo e Relações Institucionais, abordando sobre os débitos da SESAU, sobre a necessidade de alteração da LEI da COSIP para prever o Encontro de Contas, definição de ponto focal para os assuntos da secretária de educação para os pedidos de aumento de carga e a liberação/autorização para ligação do painel de LED no espaço Energia."/>
    <d v="2026-08-03T00:00:00"/>
    <s v="Informação. Card já finalizado em data anterior."/>
    <m/>
    <m/>
    <d v="2026-08-03T00:00:00"/>
    <s v="Wander Idalino Machado"/>
    <s v="Wander Machado"/>
    <s v="Ulisses da Silva Rocha_x000a_Willian Maksuda_x000a_Paulo Roberto (DPRE)"/>
    <s v="Aline da Silva Mesquita"/>
    <s v=""/>
    <s v="Visita Domo de Ferro"/>
    <d v="2026-09-03T00:00:00"/>
    <s v="Moacir Costa Neto"/>
    <d v="2026-08-03T00:00:00"/>
    <s v="Wander Idalino Machado"/>
    <n v="100"/>
    <n v="100"/>
    <n v="100"/>
    <s v=""/>
    <m/>
    <s v=""/>
    <s v="CAMPO GRANDE"/>
    <n v="101"/>
    <s v="&gt;50 dias"/>
    <s v="Dentro"/>
    <s v="Não risco"/>
    <e v="#VALUE!"/>
    <n v="0"/>
  </r>
  <r>
    <s v="64"/>
    <s v="Visita Domo de Ferro"/>
    <x v="1"/>
    <s v="DCMD"/>
    <d v="2026-04-16T00:00:00"/>
    <s v="Danila Hertal Moreira Souza"/>
    <s v="Finalizada"/>
    <x v="1"/>
    <s v="Câmara Municipal de Coronel Sapucaia"/>
    <s v=""/>
    <s v=""/>
    <s v="SUL"/>
    <s v="Coronel Sapucaia"/>
    <s v="Câmara"/>
    <s v="Coronel Sapucaia"/>
    <s v="Na reunião foi apresentado os ofícios CM nº 5/2026, 25/2026, 26/2026, 21/2026 (protocolo 9504603188) 20/2026 (protocolo 9504605976)"/>
    <d v="2026-05-04T00:00:00"/>
    <s v="26/2026, 21/2026 (protocolo 9504603188) 20/2026 (protocolo 9504605976)"/>
    <d v="2026-06-12T00:00:00"/>
    <s v="Of 26/2026 respondido conforme CT-CGCP-PP 500/2026. Of 21/2026 atendido conforme OS 525040957 (gerado obra 0402600291, orçamento enviado ao cliente). E o OF. 20/2026 atendido conforme OS 525029584 (gerado obra 0402600290, orçamento enviado ao cliente)."/>
    <m/>
    <m/>
    <m/>
    <s v="Moacir Costa Neto"/>
    <s v="Danila Souza"/>
    <s v="Maria Eloir Flores Rodrigues_x000a_Fernando Rolon Marinho_x000a_Célia Cristina Arias Davalos"/>
    <s v="Danila Hertal Moreira Souza"/>
    <s v=""/>
    <s v="Visita Domo de Ferro"/>
    <d v="2026-09-03T00:00:00"/>
    <s v="Moacir Costa Neto"/>
    <d v="2026-06-12T00:00:00"/>
    <s v="Danila Hertal Moreira Souza"/>
    <n v="25"/>
    <n v="25"/>
    <n v="12.5"/>
    <s v=""/>
    <m/>
    <s v=""/>
    <s v="PONTA PORA"/>
    <n v="158"/>
    <s v="&gt;50 dias"/>
    <s v="Dentro"/>
    <s v="Não risco"/>
    <e v="#VALUE!"/>
    <n v="39"/>
  </r>
  <r>
    <s v="64"/>
    <s v="Visita Domo de Ferro"/>
    <x v="4"/>
    <s v="DESC"/>
    <d v="2026-04-16T00:00:00"/>
    <s v="Danila Hertal Moreira Souza"/>
    <s v="Finalizada"/>
    <x v="1"/>
    <s v=""/>
    <s v=""/>
    <s v=""/>
    <s v="SUL"/>
    <s v="Coronel Sapucaia"/>
    <s v="Câmara"/>
    <s v="Coronel Sapucaia"/>
    <s v="Na reunião foi apresentado os ofícios CM nº 5/2026, 25/2026, 26/2026, 21/2026 (protocolo 9504603188) 20/2026 (protocolo 9504605976)"/>
    <d v="2026-05-04T00:00:00"/>
    <s v="Na reunião foi apresentado os ofícios CM nº 5/2026, 25/2026"/>
    <d v="2026-07-02T00:00:00"/>
    <m/>
    <m/>
    <m/>
    <d v="2026-06-22T00:00:00"/>
    <s v="Jessika da Silva Arruda de Paula"/>
    <s v="Danila Souza"/>
    <s v="Maria Eloir Flores Rodrigues_x000a_Fernando Rolon Marinho_x000a_Célia Cristina Arias Davalos"/>
    <s v="Danila Hertal Moreira Souza"/>
    <s v=""/>
    <s v="Visita Domo de Ferro"/>
    <d v="2026-09-03T00:00:00"/>
    <s v="Moacir Costa Neto"/>
    <d v="2026-07-02T00:00:00"/>
    <s v="Danila Hertal Moreira Souza"/>
    <n v="25"/>
    <n v="25"/>
    <n v="25"/>
    <s v=""/>
    <m/>
    <s v=""/>
    <s v="PONTA PORA"/>
    <n v="158"/>
    <s v="&gt;50 dias"/>
    <s v="Dentro"/>
    <s v="Não risco"/>
    <e v="#VALUE!"/>
    <n v="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s v="1008"/>
    <s v="Visita Domo de Ferro"/>
    <x v="0"/>
    <x v="0"/>
    <d v="2026-08-12T00:00:00"/>
    <s v="Monike Chaves"/>
    <s v="Em Andamento"/>
    <x v="0"/>
    <s v=""/>
    <s v=""/>
    <s v="0402600304"/>
    <x v="0"/>
    <x v="0"/>
    <x v="0"/>
    <s v="Coronel Sapucaia"/>
    <s v="Obra parada precisa remover a estrutura para seguir com a parte interna, prefeitura quer intervir na rede, foi orientando quanto ao risco a segurança, e continuidade do fornecimento. _x000a__x000a_Escola será entregue no dia 02/09/2026 e precisamos que a obra seja atendida antes dessa data."/>
    <d v="2026-08-31T00:00:00"/>
    <s v="0402600304 PROGRAMAR OBRA"/>
    <d v="2026-09-15T00:00:00"/>
    <s v="Reprogramada para 18/09 - devido a contingência"/>
    <d v="2026-09-08T00:00:00"/>
    <d v="2026-09-18T00:00:00"/>
    <m/>
    <s v="Amanda Aparecida Teixeira dos Santos"/>
    <s v="Amanda Santos"/>
    <s v="Thiago Secretario De Administração Prefeitura De Cel Sapucaia"/>
    <s v=""/>
    <s v="Sim"/>
    <s v="Visita Domo de Ferro"/>
    <d v="2026-09-15T00:00:00"/>
    <s v="Amanda Aparecida Teixeira dos Santos"/>
    <d v="2026-09-15T00:00:00"/>
    <s v="Amanda Aparecida Teixeira dos Santos"/>
    <n v="100"/>
    <n v="100"/>
    <n v="100"/>
    <s v=""/>
    <m/>
    <s v=""/>
    <x v="0"/>
    <n v="40"/>
    <x v="0"/>
    <x v="0"/>
    <x v="0"/>
    <x v="0"/>
    <n v="15"/>
    <x v="0"/>
  </r>
  <r>
    <s v="1009"/>
    <s v="Visita Domo de Ferro"/>
    <x v="0"/>
    <x v="0"/>
    <d v="2026-08-13T00:00:00"/>
    <s v="Monike Chaves"/>
    <s v="Em Andamento"/>
    <x v="0"/>
    <s v=""/>
    <s v=""/>
    <s v="0202601135"/>
    <x v="0"/>
    <x v="1"/>
    <x v="0"/>
    <s v="Maracaju"/>
    <s v="Por favor agilizar atendimento da Obra 0202601135. _x000a__x000a_Loteamento Fortaleza III -  objeto das matrículas de no 26830 e 26.833 do Cartório de Registro de Imóveis de Maracaju/MS, em atendimento aos 109 lotes, conforme consta no Projeto Elétrico e croqui da locação dos postes para a extensão da rede."/>
    <d v="2026-08-13T00:00:00"/>
    <s v="Por favor agilizar atendimento da Obra 0202601135. _x000a_Loteamento Fortaleza III -  objeto das matrículas de no 26830 e 26.833 do Cartório de Registro de Imóveis de Maracaju/MS, em atendimento aos 109 lotes, conforme consta no Projeto Elétrico e croqui da locação dos postes para a extensão da rede."/>
    <d v="2026-09-04T00:00:00"/>
    <m/>
    <d v="2026-08-25T00:00:00"/>
    <d v="2026-09-18T00:00:00"/>
    <m/>
    <s v="Amanda Aparecida Teixeira dos Santos"/>
    <s v="Amanda Santos"/>
    <s v="Prefeito Calderan_x000a_Gerente de Obras Ariana"/>
    <s v="Monike Chaves"/>
    <s v="Sim"/>
    <s v="Visita Domo de Ferro"/>
    <d v="2026-09-04T00:00:00"/>
    <s v="Amanda Aparecida Teixeira dos Santos"/>
    <d v="2026-09-04T00:00:00"/>
    <s v="Amanda Aparecida Teixeira dos Santos"/>
    <n v="100"/>
    <n v="100"/>
    <n v="100"/>
    <s v=""/>
    <m/>
    <s v=""/>
    <x v="1"/>
    <n v="39"/>
    <x v="0"/>
    <x v="0"/>
    <x v="0"/>
    <x v="0"/>
    <n v="22"/>
    <x v="0"/>
  </r>
  <r>
    <s v="1012"/>
    <s v="Visita Domo de Ferro"/>
    <x v="0"/>
    <x v="0"/>
    <d v="2026-08-03T00:00:00"/>
    <s v="Monike Chaves"/>
    <s v="Em Andamento"/>
    <x v="0"/>
    <s v=""/>
    <s v=""/>
    <s v="0402600456"/>
    <x v="0"/>
    <x v="2"/>
    <x v="0"/>
    <s v="Aral Moreira"/>
    <s v="PREZADOS 1053824, NÃO FOI ATENDIDO A REDE DO LOTEAMENTO, ANEXO NO PROJETO TEM OS DOCUMENTOS NECESSARIOS PARA ATENDIMENTO, BEM COMO LEI DE CRIAÇÃO. A ENTREGA DAS CASAS SERIAM NO MÊS DE AGOSTO."/>
    <d v="2026-08-28T00:00:00"/>
    <s v="Obra 0402600456 - programação de obra"/>
    <d v="2026-09-04T00:00:00"/>
    <s v="PROGRAMADA PARA 18/09"/>
    <d v="2026-09-30T00:00:00"/>
    <d v="2026-09-18T00:00:00"/>
    <m/>
    <s v="Amanda Aparecida Teixeira dos Santos"/>
    <s v="Amanda Santos"/>
    <s v="PREFEITA ELAINE"/>
    <s v=""/>
    <s v="Sim"/>
    <s v="Visita Domo de Ferro"/>
    <d v="2026-09-04T00:00:00"/>
    <s v="Amanda Aparecida Teixeira dos Santos"/>
    <d v="2026-09-04T00:00:00"/>
    <s v="Amanda Aparecida Teixeira dos Santos"/>
    <n v="100"/>
    <n v="100"/>
    <n v="100"/>
    <s v=""/>
    <m/>
    <s v=""/>
    <x v="0"/>
    <n v="49"/>
    <x v="0"/>
    <x v="1"/>
    <x v="1"/>
    <x v="0"/>
    <n v="7"/>
    <x v="0"/>
  </r>
  <r>
    <s v="1016"/>
    <s v="Visita Domo de Ferro"/>
    <x v="1"/>
    <x v="1"/>
    <d v="2026-08-13T00:00:00"/>
    <s v="Marcelly Arce Avalo Franca"/>
    <s v="Em Andamento"/>
    <x v="0"/>
    <s v=""/>
    <s v=""/>
    <s v="0452600171"/>
    <x v="1"/>
    <x v="3"/>
    <x v="1"/>
    <s v="Paraíso das Águas"/>
    <s v="OBRA: 0452600171 - ESCOPO: 40 METROS DE EXTENSÃO DE REDE + PONTO DE ENTREGA. _x000a_PRAZO: 120 DIAS_x000a_EXPECTATIVA DO CLIENTE: 11/09_x000a__x000a_CLIENTE SOLICITA PRIORIDADE, ATUALMENTE OPERANDO COM GERADOR."/>
    <d v="2026-09-10T00:00:00"/>
    <s v="gerar os de ligação e programar pra 11/09"/>
    <d v="2026-09-10T00:00:00"/>
    <s v="OS DE LIGAÇÃO GERADAS _x000a_PEDIDO PROGRAMAÇÃO PARA 11/09, AGUARDANDO CONFIRMAÇÃO"/>
    <d v="2026-09-11T00:00:00"/>
    <d v="2026-09-11T00:00:00"/>
    <m/>
    <s v="Marcelly Arce Avalo Franca"/>
    <s v="Marcelly Franca"/>
    <m/>
    <s v="Thamara Araujo Canteiro Collombelli"/>
    <s v="Sim"/>
    <s v="Visita Domo de Ferro"/>
    <d v="2026-09-10T00:00:00"/>
    <s v="Marcelly Arce Avalo Franca"/>
    <d v="2026-09-10T00:00:00"/>
    <s v="Marcelly Arce Avalo Franca"/>
    <n v="100"/>
    <n v="100"/>
    <n v="100"/>
    <s v=""/>
    <m/>
    <s v=""/>
    <x v="2"/>
    <n v="39"/>
    <x v="0"/>
    <x v="0"/>
    <x v="0"/>
    <x v="0"/>
    <n v="0"/>
    <x v="1"/>
  </r>
  <r>
    <s v="1016"/>
    <s v="Visita Domo de Ferro"/>
    <x v="0"/>
    <x v="0"/>
    <d v="2026-08-13T00:00:00"/>
    <s v="Marcelly Arce Avalo Franca"/>
    <s v="Em Andamento"/>
    <x v="1"/>
    <s v=""/>
    <s v=""/>
    <s v="0452600171"/>
    <x v="1"/>
    <x v="3"/>
    <x v="1"/>
    <s v="Paraíso das Águas"/>
    <s v="OBRA: 0452600171 - ESCOPO: 40 METROS DE EXTENSÃO DE REDE + PONTO DE ENTREGA. _x000a_PRAZO: 120 DIAS_x000a_EXPECTATIVA DO CLIENTE: 11/09_x000a__x000a_CLIENTE SOLICITA PRIORIDADE, ATUALMENTE OPERANDO COM GERADOR."/>
    <d v="2026-08-14T00:00:00"/>
    <s v="Verificar cronograma e executar com o prioridade a obra."/>
    <d v="2026-09-15T00:00:00"/>
    <m/>
    <d v="2026-09-11T00:00:00"/>
    <d v="2026-09-09T00:00:00"/>
    <m/>
    <s v="Amanda Aparecida Teixeira dos Santos"/>
    <s v="Amanda Santos"/>
    <m/>
    <s v="Thamara Araujo Canteiro Collombelli"/>
    <s v="Sim"/>
    <s v="Visita Domo de Ferro"/>
    <d v="2026-09-15T00:00:00"/>
    <s v="Amanda Aparecida Teixeira dos Santos"/>
    <d v="2026-09-15T00:00:00"/>
    <s v="Amanda Aparecida Teixeira dos Santos"/>
    <n v="100"/>
    <n v="100"/>
    <n v="100"/>
    <s v=""/>
    <m/>
    <s v=""/>
    <x v="2"/>
    <n v="39"/>
    <x v="0"/>
    <x v="0"/>
    <x v="0"/>
    <x v="0"/>
    <n v="32"/>
    <x v="0"/>
  </r>
  <r>
    <s v="1022"/>
    <s v="Visita Domo de Ferro"/>
    <x v="2"/>
    <x v="2"/>
    <d v="2026-03-02T00:00:00"/>
    <s v="Julio Cesar dos Santos Antonelo"/>
    <s v="Em Andamento"/>
    <x v="2"/>
    <s v=""/>
    <s v="30723"/>
    <s v=""/>
    <x v="2"/>
    <x v="4"/>
    <x v="1"/>
    <s v="Corumbá"/>
    <s v="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d v="2026-07-23T00:00:00"/>
    <s v="07/08/2026: Instalar medição nas 2 UC's prioritárias até dia 14/08/2026_x000a_14/08/2026: Instalar medição nas 2 UC's prioritárias até dia 18/08/2026. Necessário envolver o time da Gleistuany (GEST)"/>
    <d v="2026-09-04T00:00:00"/>
    <m/>
    <m/>
    <m/>
    <m/>
    <s v="Luan Henrique Soares Diniz Afonso"/>
    <s v="Gabriella Domingo"/>
    <s v="RENATO MARCILIO DA SILVA"/>
    <s v="Julio Cesar dos Santos Antonelo"/>
    <s v="Sim"/>
    <s v="Visita Domo de Ferro"/>
    <d v="2026-09-04T00:00:00"/>
    <s v="Gabriella Amorim Domingo"/>
    <d v="2026-09-04T00:00:00"/>
    <s v="Gabriella Amorim Domingo"/>
    <n v="100"/>
    <n v="100"/>
    <n v="100"/>
    <s v=""/>
    <m/>
    <s v=""/>
    <x v="3"/>
    <n v="203"/>
    <x v="0"/>
    <x v="1"/>
    <x v="0"/>
    <x v="0"/>
    <n v="43"/>
    <x v="2"/>
  </r>
  <r>
    <s v="1027"/>
    <s v="Visita Domo de Ferro"/>
    <x v="0"/>
    <x v="0"/>
    <d v="2026-08-31T00:00:00"/>
    <s v="Monike Chaves"/>
    <s v="Em Andamento"/>
    <x v="0"/>
    <s v=""/>
    <s v=""/>
    <s v="0402600390"/>
    <x v="0"/>
    <x v="5"/>
    <x v="0"/>
    <s v="Antônio João"/>
    <s v="Prefeito de Antonio João pedindo prioridade no atendimento dessa obra, pois a obra interna oi paralisada."/>
    <d v="2026-08-18T00:00:00"/>
    <m/>
    <d v="2026-09-15T00:00:00"/>
    <s v="Reprogramada para 24/09 - devido a contingencia"/>
    <d v="2026-08-31T00:00:00"/>
    <d v="2026-09-24T00:00:00"/>
    <m/>
    <s v="Amanda Aparecida Teixeira dos Santos"/>
    <s v="Amanda Santos"/>
    <s v="Prefeito Marcelo"/>
    <s v=""/>
    <s v="Sim"/>
    <s v="Visita Domo de Ferro"/>
    <d v="2026-09-15T00:00:00"/>
    <s v="Amanda Aparecida Teixeira dos Santos"/>
    <d v="2026-09-15T00:00:00"/>
    <s v="Amanda Aparecida Teixeira dos Santos"/>
    <n v="100"/>
    <n v="100"/>
    <n v="100"/>
    <s v=""/>
    <m/>
    <s v=""/>
    <x v="0"/>
    <n v="21"/>
    <x v="1"/>
    <x v="0"/>
    <x v="0"/>
    <x v="0"/>
    <n v="28"/>
    <x v="0"/>
  </r>
  <r>
    <s v="1032"/>
    <s v="Visita Domo de Ferro"/>
    <x v="0"/>
    <x v="0"/>
    <d v="2026-07-08T00:00:00"/>
    <s v="Monike Chaves"/>
    <s v="Finalizada"/>
    <x v="1"/>
    <s v=""/>
    <s v=""/>
    <s v="0502600521"/>
    <x v="0"/>
    <x v="6"/>
    <x v="0"/>
    <s v="Tacuru"/>
    <s v="Por favor verificar possibilidade de agilizar atendimento da Obra 0502600521."/>
    <d v="2026-08-18T00:00:00"/>
    <s v="Por favor verificar possibilidade de agilizar atendimento da Obra 0502600521."/>
    <d v="2026-09-02T00:00:00"/>
    <s v="OBRA CONCLUIDA 21/08"/>
    <d v="2026-11-11T00:00:00"/>
    <m/>
    <d v="2026-08-21T00:00:00"/>
    <s v="Amanda Aparecida Teixeira dos Santos"/>
    <s v="Amanda Santos"/>
    <s v="Prefeito Rogério"/>
    <s v="Jonas Ortiz Rudis"/>
    <s v="Sim"/>
    <s v="Visita Domo de Ferro"/>
    <d v="2026-09-02T00:00:00"/>
    <s v="Amanda Aparecida Teixeira dos Santos"/>
    <d v="2026-09-02T00:00:00"/>
    <s v="Amanda Aparecida Teixeira dos Santos"/>
    <n v="100"/>
    <n v="100"/>
    <n v="100"/>
    <s v=""/>
    <m/>
    <s v=""/>
    <x v="4"/>
    <n v="75"/>
    <x v="0"/>
    <x v="1"/>
    <x v="1"/>
    <x v="0"/>
    <n v="15"/>
    <x v="0"/>
  </r>
  <r>
    <s v="1036"/>
    <s v="Visita Domo de Ferro"/>
    <x v="3"/>
    <x v="0"/>
    <d v="2026-08-18T00:00:00"/>
    <s v="Giovani Moura Sousa"/>
    <s v="Em Andamento"/>
    <x v="2"/>
    <s v=""/>
    <s v=""/>
    <s v=""/>
    <x v="1"/>
    <x v="7"/>
    <x v="2"/>
    <s v="Campo Grande"/>
    <s v="Solicita substituião do poste quebrado a Rua Grace Kelly, 306"/>
    <d v="2026-08-19T00:00:00"/>
    <s v="Programar levantamento para substituição de poste quebrado. Rua Grace Kelly, nº 306 - Bairro Jardim Colibri - Campo Grande/MS."/>
    <m/>
    <m/>
    <m/>
    <m/>
    <m/>
    <s v="Evair Rogerio da Conceicao"/>
    <s v=""/>
    <s v="Vereador Beto Avelar"/>
    <s v="Giovani Moura Sousa"/>
    <s v="Sim"/>
    <s v="Visita Domo de Ferro"/>
    <d v="2026-08-19T00:00:00"/>
    <s v="Wander Idalino Machado"/>
    <d v="2026-08-19T00:00:00"/>
    <s v="Wander Idalino Machado"/>
    <n v="25"/>
    <n v="25"/>
    <n v="12.5"/>
    <s v="Manutenção e Poda"/>
    <m/>
    <s v="DCMD - PODA E MANUTENÇÃO"/>
    <x v="5"/>
    <n v="34"/>
    <x v="0"/>
    <x v="1"/>
    <x v="0"/>
    <x v="0"/>
    <n v="33"/>
    <x v="3"/>
  </r>
  <r>
    <s v="1043"/>
    <s v="Visita Domo de Ferro"/>
    <x v="0"/>
    <x v="0"/>
    <d v="2026-08-19T00:00:00"/>
    <s v="Dian Cleiton de Brito"/>
    <s v="Finalizada"/>
    <x v="1"/>
    <s v=""/>
    <s v=""/>
    <s v="0302600251"/>
    <x v="0"/>
    <x v="8"/>
    <x v="3"/>
    <s v="Bataguassu"/>
    <s v="Deputado e Prefeita solicitam a relocação com urgÊncia considerando a paralização das obras de pavimentação._x000a__x000a__x000a_Expect 31/08/26;"/>
    <d v="2026-08-21T00:00:00"/>
    <s v="Por favor, disponibilizar orçamento ao cliente."/>
    <d v="2026-09-08T00:00:00"/>
    <s v="Obra gerada o boleto na UC conforme solicitado e liberada."/>
    <d v="2026-08-31T00:00:00"/>
    <m/>
    <d v="2026-06-26T00:00:00"/>
    <s v="Bruna Victoria Rodrigues Ricardes"/>
    <s v="Bruna Ricardes"/>
    <s v="Caravina - Deputado_x000a_Wanderleia - Prefeita _x000a_Carol - Secretaria de Adm"/>
    <s v="Dian Cleiton de Brito"/>
    <s v="Sim"/>
    <s v="Visita Domo de Ferro"/>
    <d v="2026-09-08T00:00:00"/>
    <s v="Bruna Victoria Rodrigues Ricardes"/>
    <d v="2026-09-08T00:00:00"/>
    <s v="Bruna Victoria Rodrigues Ricardes"/>
    <n v="100"/>
    <n v="100"/>
    <n v="100"/>
    <s v=""/>
    <m/>
    <s v=""/>
    <x v="6"/>
    <n v="33"/>
    <x v="0"/>
    <x v="1"/>
    <x v="0"/>
    <x v="0"/>
    <n v="18"/>
    <x v="4"/>
  </r>
  <r>
    <s v="1045"/>
    <s v="Visita Domo de Ferro"/>
    <x v="0"/>
    <x v="0"/>
    <d v="2026-08-20T00:00:00"/>
    <s v="Dian Cleiton de Brito"/>
    <s v="Em Andamento"/>
    <x v="0"/>
    <s v=""/>
    <s v=""/>
    <s v="050-26-00571"/>
    <x v="0"/>
    <x v="9"/>
    <x v="4"/>
    <s v="Itaquiraí"/>
    <s v="Governador solicitou agilizar obra de atendimento ao Cliente._x000a__x000a_Expec: 20/09/26;_x000a__x000a__x000a__x000a__x000a_NELSON TUTIDA_x000a_CPF: 245.245.499-00_x000a_IE: 28.790.825-9_x000a_FAZ MEIO SECULO, ZONA RURAL, ITAQUIRAÍ - MS_x000a__x000a_PROJETO 23623/26_x000a_UC: 3877911_x000a_CUSD 13524_x000a_OBRA: 050-26-00571"/>
    <d v="2026-08-19T00:00:00"/>
    <s v="Liberar programação da Obra 0502600571"/>
    <d v="2026-09-15T00:00:00"/>
    <m/>
    <d v="2026-09-19T00:00:00"/>
    <d v="2026-09-18T00:00:00"/>
    <m/>
    <s v="Amanda Aparecida Teixeira dos Santos"/>
    <s v="Amanda Santos"/>
    <s v="Eduardo Riedel - Governador_x000a_Paulo Roberto - DPRE"/>
    <s v="Dian Cleiton de Brito"/>
    <s v="Sim"/>
    <s v="Visita Domo de Ferro"/>
    <d v="2026-09-15T00:00:00"/>
    <s v="Amanda Aparecida Teixeira dos Santos"/>
    <d v="2026-09-15T00:00:00"/>
    <s v="Amanda Aparecida Teixeira dos Santos"/>
    <n v="100"/>
    <n v="100"/>
    <n v="100"/>
    <s v=""/>
    <m/>
    <s v=""/>
    <x v="4"/>
    <n v="32"/>
    <x v="0"/>
    <x v="0"/>
    <x v="1"/>
    <x v="0"/>
    <n v="27"/>
    <x v="0"/>
  </r>
  <r>
    <s v="1057"/>
    <s v="Visita Domo de Ferro"/>
    <x v="0"/>
    <x v="0"/>
    <d v="2026-08-21T00:00:00"/>
    <s v="Dian Cleiton de Brito"/>
    <s v="Em Andamento"/>
    <x v="0"/>
    <s v=""/>
    <s v=""/>
    <s v="0252600281"/>
    <x v="2"/>
    <x v="10"/>
    <x v="1"/>
    <s v="Miranda"/>
    <s v="Presidente solicitou para agilizar obra de extensão de rede para atendimento de Eletroposto._x000a__x000a_Expectativa: 20/09/26"/>
    <d v="2026-08-24T00:00:00"/>
    <s v="Obra 0252600281 - por favor agilizar programação."/>
    <d v="2026-09-04T00:00:00"/>
    <s v="Obra programada para finalizar 20/09"/>
    <d v="2026-09-20T00:00:00"/>
    <d v="2026-09-20T00:00:00"/>
    <m/>
    <s v="Amanda Aparecida Teixeira dos Santos"/>
    <s v="Amanda Santos"/>
    <s v="Paulo Roberto"/>
    <s v="Dian Cleiton de Brito"/>
    <s v="Sim"/>
    <s v="Visita Domo de Ferro"/>
    <d v="2026-09-04T00:00:00"/>
    <s v="Amanda Aparecida Teixeira dos Santos"/>
    <d v="2026-09-04T00:00:00"/>
    <s v="Amanda Aparecida Teixeira dos Santos"/>
    <n v="100"/>
    <n v="100"/>
    <n v="100"/>
    <s v=""/>
    <m/>
    <s v=""/>
    <x v="7"/>
    <n v="31"/>
    <x v="0"/>
    <x v="0"/>
    <x v="1"/>
    <x v="0"/>
    <n v="11"/>
    <x v="0"/>
  </r>
  <r>
    <s v="1060"/>
    <s v="Visita Domo de Ferro"/>
    <x v="0"/>
    <x v="0"/>
    <d v="2026-08-24T00:00:00"/>
    <s v="Aline da Silva Mesquita"/>
    <s v="Em Andamento"/>
    <x v="0"/>
    <s v=""/>
    <s v=""/>
    <s v="0102601321"/>
    <x v="1"/>
    <x v="11"/>
    <x v="0"/>
    <s v="Ribas do Rio Pardo"/>
    <s v="Prefeito de Ribas me pediu para agilizar essas obras a seguir pra esta semana urgente."/>
    <d v="2026-08-24T00:00:00"/>
    <s v="agilizar obra, pra esta semana urgente."/>
    <d v="2026-09-15T00:00:00"/>
    <s v="Programada para 14/10"/>
    <d v="2026-08-31T00:00:00"/>
    <d v="2026-10-14T00:00:00"/>
    <m/>
    <s v="Amanda Aparecida Teixeira dos Santos"/>
    <s v="Amanda Santos"/>
    <m/>
    <s v=""/>
    <s v="Sim"/>
    <s v="Visita Domo de Ferro"/>
    <d v="2026-09-15T00:00:00"/>
    <s v="Amanda Aparecida Teixeira dos Santos"/>
    <d v="2026-09-15T00:00:00"/>
    <s v="Amanda Aparecida Teixeira dos Santos"/>
    <n v="100"/>
    <n v="100"/>
    <n v="100"/>
    <s v=""/>
    <m/>
    <s v=""/>
    <x v="8"/>
    <n v="28"/>
    <x v="1"/>
    <x v="0"/>
    <x v="0"/>
    <x v="0"/>
    <n v="22"/>
    <x v="0"/>
  </r>
  <r>
    <s v="1061"/>
    <s v="Visita Domo de Ferro"/>
    <x v="0"/>
    <x v="0"/>
    <d v="2026-08-24T00:00:00"/>
    <s v="Aline da Silva Mesquita"/>
    <s v="Finalizada"/>
    <x v="1"/>
    <s v=""/>
    <s v=""/>
    <s v="0102601427"/>
    <x v="1"/>
    <x v="11"/>
    <x v="0"/>
    <s v="Ribas do Rio Pardo"/>
    <s v="Prefeito de Ribas me pediu para agilizar essas obras a seguir pra esta semana urgente"/>
    <d v="2026-08-24T00:00:00"/>
    <s v="agilizar obra pra esta semana urgente."/>
    <d v="2026-09-04T00:00:00"/>
    <s v="Obra concluída 28/08"/>
    <d v="2026-08-31T00:00:00"/>
    <m/>
    <d v="2026-08-28T00:00:00"/>
    <s v="Amanda Aparecida Teixeira dos Santos"/>
    <s v="Amanda Santos"/>
    <m/>
    <s v=""/>
    <s v="Sim"/>
    <s v="Visita Domo de Ferro"/>
    <d v="2026-09-04T00:00:00"/>
    <s v="Amanda Aparecida Teixeira dos Santos"/>
    <d v="2026-09-04T00:00:00"/>
    <s v="Amanda Aparecida Teixeira dos Santos"/>
    <n v="100"/>
    <n v="100"/>
    <n v="100"/>
    <s v=""/>
    <m/>
    <s v=""/>
    <x v="8"/>
    <n v="28"/>
    <x v="1"/>
    <x v="1"/>
    <x v="0"/>
    <x v="0"/>
    <n v="11"/>
    <x v="0"/>
  </r>
  <r>
    <s v="1062"/>
    <s v="Visita Domo de Ferro"/>
    <x v="0"/>
    <x v="0"/>
    <d v="2026-08-24T00:00:00"/>
    <s v="Aline da Silva Mesquita"/>
    <s v="Em Andamento"/>
    <x v="2"/>
    <s v=""/>
    <s v=""/>
    <s v="0102601240"/>
    <x v="1"/>
    <x v="11"/>
    <x v="0"/>
    <s v="Ribas do Rio Pardo"/>
    <s v="Prefeito de Ribas me pediu para agilizar essas obras a seguir pra esta semana urgente"/>
    <d v="2026-09-10T00:00:00"/>
    <s v="Obra 0102601240. Devolver ao SPRO, projeto não condiz com a situação em campo. No projeto pede a desativação de uma rede mas ela não é existente em campo."/>
    <d v="2026-09-11T00:00:00"/>
    <m/>
    <d v="2027-02-24T00:00:00"/>
    <m/>
    <m/>
    <s v="Evelyn Carlos Benites"/>
    <s v="Rafaela Almeida"/>
    <m/>
    <s v=""/>
    <s v="Sim"/>
    <s v="Visita Domo de Ferro"/>
    <d v="2026-09-11T00:00:00"/>
    <s v="Rafaela Mattos de Almeida"/>
    <d v="2026-09-11T00:00:00"/>
    <s v="Rafaela Mattos de Almeida"/>
    <n v="100"/>
    <n v="100"/>
    <n v="100"/>
    <s v=""/>
    <m/>
    <s v=""/>
    <x v="8"/>
    <n v="28"/>
    <x v="1"/>
    <x v="1"/>
    <x v="1"/>
    <x v="0"/>
    <n v="1"/>
    <x v="4"/>
  </r>
  <r>
    <s v="1064"/>
    <s v="Visita Domo de Ferro"/>
    <x v="4"/>
    <x v="1"/>
    <d v="2026-08-24T00:00:00"/>
    <s v="Aline da Silva Mesquita"/>
    <s v="Em Andamento"/>
    <x v="2"/>
    <s v=""/>
    <s v=""/>
    <s v="0702600176"/>
    <x v="2"/>
    <x v="12"/>
    <x v="0"/>
    <s v="Coxim"/>
    <s v="Availdo vai entrar em contato. Obra liberada, pedir prioridade via central, SOLICITADA PELA ALINE MESQUITA"/>
    <d v="2026-08-24T00:00:00"/>
    <s v="Availdo vai entrar em contato, para maior entendimento, trata-se de duas obras 0702600176 e 0702600108. Aline Mesquita descreveu: Porem segue algumas observações;_x000a_a Obra ainda não esta em execução mesmo ter saído sem custo, provavelmente o que esta pendente é o contrato de demanda com os grandes clientes._x000a_o posto de transformação também esta pendente a solicitação de comissionamento."/>
    <d v="2026-09-08T00:00:00"/>
    <m/>
    <m/>
    <d v="2026-08-27T00:00:00"/>
    <m/>
    <s v="Availdo Taveira de Oliveira"/>
    <s v="Gabriella Domingo"/>
    <m/>
    <s v="Availdo Taveira de Oliveira"/>
    <s v="Sim"/>
    <s v="Prefeitura"/>
    <d v="2026-09-08T00:00:00"/>
    <s v="Gabriella Amorim Domingo"/>
    <d v="2026-09-08T00:00:00"/>
    <s v="Gabriella Amorim Domingo"/>
    <n v="100"/>
    <n v="100"/>
    <n v="100"/>
    <s v=""/>
    <m/>
    <s v=""/>
    <x v="9"/>
    <n v="28"/>
    <x v="1"/>
    <x v="1"/>
    <x v="0"/>
    <x v="0"/>
    <n v="15"/>
    <x v="1"/>
  </r>
  <r>
    <s v="1064"/>
    <s v="Visita Domo de Ferro"/>
    <x v="0"/>
    <x v="0"/>
    <d v="2026-08-24T00:00:00"/>
    <s v="Aline da Silva Mesquita"/>
    <s v="Em Andamento"/>
    <x v="0"/>
    <s v=""/>
    <s v=""/>
    <s v="0702600176"/>
    <x v="2"/>
    <x v="12"/>
    <x v="0"/>
    <s v="Coxim"/>
    <s v="Availdo vai entrar em contato. Obra liberada, pedir prioridade via central, SOLICITADA PELA ALINE MESQUITA"/>
    <d v="2026-08-24T00:00:00"/>
    <s v="Obra liberada, liberar programação, obra necessaria ser atendida com urgencia. Demanda DPRE_x000a_São duas obras 0702600176 e 0702600108"/>
    <d v="2026-09-15T00:00:00"/>
    <s v="Reprogramada para 26/09  - devido a contingencia"/>
    <d v="2026-09-30T00:00:00"/>
    <d v="2026-09-26T00:00:00"/>
    <m/>
    <s v="Amanda Aparecida Teixeira dos Santos"/>
    <s v="Amanda Santos"/>
    <m/>
    <s v="Availdo Taveira de Oliveira"/>
    <s v="Sim"/>
    <s v="Prefeitura"/>
    <d v="2026-09-15T00:00:00"/>
    <s v="Amanda Aparecida Teixeira dos Santos"/>
    <d v="2026-09-15T00:00:00"/>
    <s v="Amanda Aparecida Teixeira dos Santos"/>
    <n v="100"/>
    <n v="100"/>
    <n v="100"/>
    <s v=""/>
    <m/>
    <s v=""/>
    <x v="9"/>
    <n v="28"/>
    <x v="1"/>
    <x v="1"/>
    <x v="1"/>
    <x v="0"/>
    <n v="22"/>
    <x v="0"/>
  </r>
  <r>
    <s v="1066"/>
    <s v="Visita Domo de Ferro"/>
    <x v="0"/>
    <x v="0"/>
    <d v="2026-08-20T00:00:00"/>
    <s v="Aline da Silva Mesquita"/>
    <s v="Em Andamento"/>
    <x v="1"/>
    <s v=""/>
    <s v=""/>
    <s v=""/>
    <x v="1"/>
    <x v="11"/>
    <x v="1"/>
    <s v="Ribas do Rio Pardo"/>
    <s v="Trata-se do novo prédio da Policia militar. Obra por parte do cliente concluída e comissionada."/>
    <d v="2026-08-25T00:00:00"/>
    <s v="Agilizar o orçamento para seguirmos com a elaboração dos contratos"/>
    <d v="2026-09-08T00:00:00"/>
    <m/>
    <d v="2026-08-31T00:00:00"/>
    <m/>
    <m/>
    <s v="Bruna Victoria Rodrigues Ricardes"/>
    <s v="Bruna Ricardes"/>
    <s v="Denise Simoes"/>
    <s v=""/>
    <s v="Sim"/>
    <s v="Visita Domo de Ferro"/>
    <d v="2026-09-08T00:00:00"/>
    <s v="Bruna Victoria Rodrigues Ricardes"/>
    <d v="2026-09-08T00:00:00"/>
    <s v="Bruna Victoria Rodrigues Ricardes"/>
    <n v="100"/>
    <n v="100"/>
    <n v="100"/>
    <s v=""/>
    <m/>
    <s v=""/>
    <x v="8"/>
    <n v="32"/>
    <x v="0"/>
    <x v="0"/>
    <x v="0"/>
    <x v="0"/>
    <n v="14"/>
    <x v="4"/>
  </r>
  <r>
    <s v="1066"/>
    <s v="Visita Domo de Ferro"/>
    <x v="0"/>
    <x v="1"/>
    <d v="2026-08-20T00:00:00"/>
    <s v="Aline da Silva Mesquita"/>
    <s v="Em Andamento"/>
    <x v="2"/>
    <s v="SECRETARIA DE ESTADO DE JUSTIÇA E SEGURANÇA PÚBLICA"/>
    <s v=""/>
    <s v="010260168"/>
    <x v="1"/>
    <x v="11"/>
    <x v="1"/>
    <s v="Ribas do Rio Pardo"/>
    <s v="Trata-se do novo prédio da Policia militar. Obra por parte do cliente concluída e comissionada."/>
    <d v="2026-09-10T00:00:00"/>
    <s v="Obra 010260168 - Projeto anexado. Por favor seguir com a elaboração dos contratos. Orçamento enviado para o cliente."/>
    <m/>
    <m/>
    <m/>
    <m/>
    <m/>
    <s v="Marcelly Arce Avalo Franca"/>
    <s v=""/>
    <s v="Denise Simoes"/>
    <s v=""/>
    <s v="Sim"/>
    <s v="Visita Domo de Ferro"/>
    <d v="2026-09-11T00:00:00"/>
    <s v="Wander Idalino Machado"/>
    <d v="2026-09-11T00:00:00"/>
    <s v="Wander Idalino Machado"/>
    <n v="100"/>
    <n v="100"/>
    <n v="50"/>
    <s v="Relacionamento com cliente"/>
    <m/>
    <s v="CGCP"/>
    <x v="8"/>
    <n v="32"/>
    <x v="0"/>
    <x v="1"/>
    <x v="0"/>
    <x v="0"/>
    <n v="11"/>
    <x v="1"/>
  </r>
  <r>
    <s v="1067"/>
    <s v="Visita Domo de Ferro"/>
    <x v="5"/>
    <x v="0"/>
    <d v="2026-08-31T00:00:00"/>
    <s v="Giovani Moura Sousa"/>
    <s v="Finalizada"/>
    <x v="1"/>
    <s v=""/>
    <s v="1.368.792.051-47"/>
    <s v=""/>
    <x v="0"/>
    <x v="13"/>
    <x v="2"/>
    <s v="Dourados"/>
    <s v="PODA E SUPRESSAO DA ARVORE UC136879205147 RUA DAS FIGUEIRAS 810 - JARDIM COLIBRI, COM AUTORIZAÇÃO DO IMAM, CONFORME ANEXO. NECESSARIO COM URGENCIA ARVORE ESTA CAINDO E NO LOCAL NAO PODE FICAR SEM ENERGIA DEVIDO A SER UM CLIENTE VIP ENFERMO COM USO DE EQUIPAMENTO ESSENCIAL."/>
    <d v="2026-08-25T00:00:00"/>
    <s v="PODA E SUPRESSAO DA ARVORE UC136879205147 RUA DAS FIGUEIRAS 810 - JARDIM COLIBRI, COM AUTORIZAÇÃO DO IMAM, CONFORME ANEXO. NECESSARIO COM URGENCIA ARVORE ESTA CAINDO E NO LOCAL NAO PODE FICAR SEM ENERGIA DEVIDO A SER UM CLIENTE VIP ENFERMO COM USO DE EQUIPAMENTO ESSENCIAL."/>
    <d v="2026-08-31T00:00:00"/>
    <s v="Supressão realizada."/>
    <m/>
    <m/>
    <m/>
    <s v="Evair Rogerio da Conceicao"/>
    <s v="Evair Conceicao"/>
    <m/>
    <s v=""/>
    <s v="Sim"/>
    <s v="Visita Domo de Ferro"/>
    <d v="2026-08-31T00:00:00"/>
    <s v="Evair Rogerio da Conceicao"/>
    <d v="2026-08-31T00:00:00"/>
    <s v="Evair Rogerio da Conceicao"/>
    <n v="25"/>
    <n v="25"/>
    <n v="25"/>
    <s v=""/>
    <m/>
    <s v=""/>
    <x v="10"/>
    <n v="21"/>
    <x v="1"/>
    <x v="1"/>
    <x v="0"/>
    <x v="0"/>
    <n v="6"/>
    <x v="3"/>
  </r>
  <r>
    <s v="1073"/>
    <s v="Visita Domo de Ferro"/>
    <x v="0"/>
    <x v="0"/>
    <d v="2026-08-28T00:00:00"/>
    <s v="Dian Cleiton de Brito"/>
    <s v="Finalizada"/>
    <x v="1"/>
    <s v=""/>
    <s v=""/>
    <s v="0402600390"/>
    <x v="0"/>
    <x v="5"/>
    <x v="3"/>
    <s v="Antônio João"/>
    <s v="SOLICITA AGILIZAR A REALIZAÇAO DA OBRA_x000a__x000a_EXPECTATIVA 15/09._x000a__x000a_Demanda gerada em duplicidade - Obra 0402600390 - Todas as tratativas que o caso requer ocorrerá através do ID 1027."/>
    <d v="2026-08-28T00:00:00"/>
    <s v="Obra 0402600390 - Programação."/>
    <d v="2026-09-15T00:00:00"/>
    <s v="Duplicado com ID 1027"/>
    <d v="2026-09-15T00:00:00"/>
    <d v="2026-09-14T00:00:00"/>
    <m/>
    <s v="Amanda Aparecida Teixeira dos Santos"/>
    <s v="Amanda Santos"/>
    <s v="PAULO ROBERTO_x000a_BETO PEREIRA"/>
    <s v="Dian Cleiton de Brito"/>
    <s v="Sim"/>
    <s v="Visita Domo de Ferro"/>
    <d v="2026-09-15T00:00:00"/>
    <s v="Amanda Aparecida Teixeira dos Santos"/>
    <d v="2026-09-15T00:00:00"/>
    <s v="Amanda Aparecida Teixeira dos Santos"/>
    <n v="100"/>
    <n v="100"/>
    <n v="100"/>
    <s v=""/>
    <m/>
    <s v=""/>
    <x v="0"/>
    <n v="24"/>
    <x v="1"/>
    <x v="0"/>
    <x v="1"/>
    <x v="0"/>
    <n v="18"/>
    <x v="0"/>
  </r>
  <r>
    <s v="1074"/>
    <s v="Visita Domo de Ferro"/>
    <x v="0"/>
    <x v="0"/>
    <d v="2026-09-30T00:00:00"/>
    <s v="Monike Chaves"/>
    <s v="Em Andamento"/>
    <x v="0"/>
    <s v=""/>
    <s v=""/>
    <s v="0202600798"/>
    <x v="0"/>
    <x v="14"/>
    <x v="0"/>
    <s v="Caarapó"/>
    <s v="Prefeita solicitou adiantamento da obra, em decorrecnia de obra no local."/>
    <d v="2026-08-31T00:00:00"/>
    <s v="Obra 0202600798 - programação."/>
    <d v="2026-09-15T00:00:00"/>
    <s v="Mantém para 28/09"/>
    <m/>
    <d v="2026-09-28T00:00:00"/>
    <m/>
    <s v="Amanda Aparecida Teixeira dos Santos"/>
    <s v="Amanda Santos"/>
    <s v="Prefeita Lurdes"/>
    <s v="Aline da Silva Mesquita"/>
    <s v="Sim"/>
    <s v="Prefeitura"/>
    <d v="2026-09-15T00:00:00"/>
    <s v="Amanda Aparecida Teixeira dos Santos"/>
    <d v="2026-09-15T00:00:00"/>
    <s v="Amanda Aparecida Teixeira dos Santos"/>
    <n v="100"/>
    <n v="100"/>
    <n v="100"/>
    <s v=""/>
    <m/>
    <s v=""/>
    <x v="10"/>
    <n v="-9"/>
    <x v="2"/>
    <x v="1"/>
    <x v="0"/>
    <x v="0"/>
    <n v="15"/>
    <x v="0"/>
  </r>
  <r>
    <s v="1080"/>
    <s v="Visita Domo de Ferro"/>
    <x v="0"/>
    <x v="0"/>
    <d v="2026-09-02T00:00:00"/>
    <s v="Dian Cleiton de Brito"/>
    <s v="Em Andamento"/>
    <x v="2"/>
    <s v=" JOSE RODRIGUES PEREIRA"/>
    <s v=""/>
    <s v="0102201031"/>
    <x v="1"/>
    <x v="15"/>
    <x v="3"/>
    <s v="Bandeirantes"/>
    <s v="Proprietário da Faz Elizabeth solicita a execução da obra em execução em sua proriedade a 4 anos. _x000a_precisa da execução imediata para inicio do plantio._x000a__x000a_Necessidade 15/09/26."/>
    <d v="2026-09-17T00:00:00"/>
    <s v="Obra 0102201031 Fiscalização Reprovada. Por favor avaliar o andamento pois a obra contempla a instalação de 01 religador 34.5 KV. _x000a_Tratativa deve ser feita pelo SPCO, o Religador chegará em 28/09/2026."/>
    <m/>
    <m/>
    <m/>
    <m/>
    <m/>
    <s v="Amanda Aparecida Teixeira dos Santos"/>
    <s v=""/>
    <s v="Junior Mocci_x000a_Renato Câmara"/>
    <s v="Dian Cleiton de Brito"/>
    <s v="Sim"/>
    <s v="Visita Domo de Ferro"/>
    <d v="2026-09-17T00:00:00"/>
    <s v="Wander Idalino Machado"/>
    <d v="2026-09-17T00:00:00"/>
    <s v="Wander Idalino Machado"/>
    <n v="100"/>
    <n v="100"/>
    <n v="50"/>
    <s v="Programação de Obras e Gestão de Materiais"/>
    <m/>
    <s v="DCMD - PROGRAMAÇÃO DE OBRA"/>
    <x v="8"/>
    <n v="19"/>
    <x v="1"/>
    <x v="1"/>
    <x v="0"/>
    <x v="0"/>
    <n v="4"/>
    <x v="0"/>
  </r>
  <r>
    <s v="1087"/>
    <s v="Visita Domo de Ferro"/>
    <x v="2"/>
    <x v="2"/>
    <d v="2026-09-03T00:00:00"/>
    <s v="Dian Cleiton de Brito"/>
    <s v="Em Andamento"/>
    <x v="2"/>
    <s v="RAFAEL PIZZI"/>
    <s v="2986442/2944064"/>
    <s v=""/>
    <x v="1"/>
    <x v="16"/>
    <x v="0"/>
    <s v="Aparecida do Taboado"/>
    <s v="RECLAMAÇÃO SOBRECARGAS E ABERTURA DO TRANSFORMADOR._x000a__x000a_UC 2986442 - 200 A_x000a_UC 2944064 - 200 A _x000a_ligadas no mesmo transformador. ENTF 000505"/>
    <d v="2026-09-04T00:00:00"/>
    <s v="Por favor realizar os estudos para avaliação e as possíveis intervenções. Unidades consumidoras 2986442 e 2944064. Transformador ENTF 000505."/>
    <m/>
    <m/>
    <m/>
    <m/>
    <m/>
    <s v="Luan Henrique Soares Diniz Afonso"/>
    <s v=""/>
    <s v="José Natan - Prefeito"/>
    <s v="Dian Cleiton de Brito"/>
    <s v="Sim"/>
    <s v="Visita Domo de Ferro"/>
    <d v="2026-09-04T00:00:00"/>
    <s v="Wander Idalino Machado"/>
    <d v="2026-09-04T00:00:00"/>
    <s v="Wander Idalino Machado"/>
    <n v="100"/>
    <n v="100"/>
    <n v="50"/>
    <s v="Qualidade do produto"/>
    <m/>
    <s v="DEOP - QUALIDADE"/>
    <x v="11"/>
    <n v="18"/>
    <x v="1"/>
    <x v="1"/>
    <x v="0"/>
    <x v="0"/>
    <n v="17"/>
    <x v="2"/>
  </r>
  <r>
    <s v="1090"/>
    <s v="Visita Domo de Ferro"/>
    <x v="0"/>
    <x v="0"/>
    <d v="2026-09-03T00:00:00"/>
    <s v="Dian Cleiton de Brito"/>
    <s v="Em Andamento"/>
    <x v="0"/>
    <s v=""/>
    <s v=""/>
    <s v="0402600380"/>
    <x v="0"/>
    <x v="17"/>
    <x v="0"/>
    <s v="Laguna Carapã"/>
    <s v="Prefeito solicita a relocação em caráter emergencial, pois tem risco de perder recurso para construção de imoveis na área em questão._x000a__x000a_Obra  0402600380_x000a__x000a_Expectatica: 30:09:26"/>
    <d v="2026-09-04T00:00:00"/>
    <s v="Obra 0402600380 - Programação."/>
    <d v="2026-09-15T00:00:00"/>
    <m/>
    <m/>
    <d v="2026-09-29T00:00:00"/>
    <m/>
    <s v="Amanda Aparecida Teixeira dos Santos"/>
    <s v="Amanda Santos"/>
    <s v="Itamar - Prefeito"/>
    <s v="Dian Cleiton de Brito"/>
    <s v="Sim"/>
    <s v="Visita Domo de Ferro"/>
    <d v="2026-09-15T00:00:00"/>
    <s v="Amanda Aparecida Teixeira dos Santos"/>
    <d v="2026-09-15T00:00:00"/>
    <s v="Amanda Aparecida Teixeira dos Santos"/>
    <n v="100"/>
    <n v="100"/>
    <n v="100"/>
    <s v=""/>
    <m/>
    <s v=""/>
    <x v="0"/>
    <n v="18"/>
    <x v="1"/>
    <x v="1"/>
    <x v="0"/>
    <x v="0"/>
    <n v="11"/>
    <x v="0"/>
  </r>
  <r>
    <s v="1093"/>
    <s v="Visita Domo de Ferro"/>
    <x v="4"/>
    <x v="3"/>
    <d v="2026-09-01T00:00:00"/>
    <s v="Giovani Moura Sousa"/>
    <s v="Finalizada"/>
    <x v="1"/>
    <s v=""/>
    <s v=""/>
    <s v=""/>
    <x v="0"/>
    <x v="18"/>
    <x v="2"/>
    <s v="Amambai"/>
    <s v="Interruções de nergia no centro da cidade de Amabai"/>
    <d v="2026-09-04T00:00:00"/>
    <s v="Para direcionamento de ação ao DEOP é necessário fornecer mais informações, tais como, número de controle interno, número da unidade consumidora, dentre outros."/>
    <d v="2026-09-04T00:00:00"/>
    <s v="Para direcionamento de ação ao DEOP é necessário fornecer mais informações, tais como, número de controle interno, número da unidade consumidora, dentre outros."/>
    <m/>
    <m/>
    <d v="2026-09-04T00:00:00"/>
    <s v="Wander Idalino Machado"/>
    <s v="Wander Machado"/>
    <s v="Vereadora Suzana"/>
    <s v="Giovani Moura Sousa"/>
    <s v="Sim"/>
    <s v="Visita Domo de Ferro"/>
    <d v="2026-09-04T00:00:00"/>
    <s v="Wander Idalino Machado"/>
    <d v="2026-09-04T00:00:00"/>
    <s v="Wander Idalino Machado"/>
    <n v="25"/>
    <n v="25"/>
    <n v="25"/>
    <s v=""/>
    <m/>
    <s v=""/>
    <x v="0"/>
    <n v="20"/>
    <x v="1"/>
    <x v="1"/>
    <x v="0"/>
    <x v="0"/>
    <n v="0"/>
    <x v="5"/>
  </r>
  <r>
    <s v="1095"/>
    <s v="Visita Domo de Ferro"/>
    <x v="4"/>
    <x v="3"/>
    <d v="2026-09-01T00:00:00"/>
    <s v="Giovani Moura Sousa"/>
    <s v="Finalizada"/>
    <x v="1"/>
    <s v=""/>
    <s v=""/>
    <s v=""/>
    <x v="0"/>
    <x v="18"/>
    <x v="2"/>
    <s v="Amambai"/>
    <s v="Interrupções de energia no centro da cidade de Amambai"/>
    <d v="2026-09-04T00:00:00"/>
    <s v="Para direcionamento de ação ao DEOP é necessário fornecer mais informações, tais como, número de controle interno, número da unidade consumidora, dentre outros."/>
    <d v="2026-09-04T00:00:00"/>
    <s v="Para direcionamento de ação ao DEOP é necessário fornecer mais informações, tais como, número de controle interno, número da unidade consumidora, dentre outros."/>
    <m/>
    <m/>
    <d v="2026-09-04T00:00:00"/>
    <s v="Wander Idalino Machado"/>
    <s v="Wander Machado"/>
    <s v="Vereador darci José da Silva"/>
    <s v="Giovani Moura Sousa"/>
    <s v="Sim"/>
    <s v="Visita Domo de Ferro"/>
    <d v="2026-09-04T00:00:00"/>
    <s v="Wander Idalino Machado"/>
    <d v="2026-09-04T00:00:00"/>
    <s v="Wander Idalino Machado"/>
    <n v="25"/>
    <n v="25"/>
    <n v="25"/>
    <s v=""/>
    <m/>
    <s v=""/>
    <x v="0"/>
    <n v="20"/>
    <x v="1"/>
    <x v="1"/>
    <x v="0"/>
    <x v="0"/>
    <n v="0"/>
    <x v="5"/>
  </r>
  <r>
    <s v="1097"/>
    <s v="Visita Domo de Ferro"/>
    <x v="4"/>
    <x v="3"/>
    <d v="2026-09-04T00:00:00"/>
    <s v="Dian Cleiton de Brito"/>
    <s v="Finalizada"/>
    <x v="1"/>
    <s v=""/>
    <s v="1.292.193.051-59"/>
    <s v=""/>
    <x v="1"/>
    <x v="7"/>
    <x v="3"/>
    <s v="Campo Grande"/>
    <s v="Deputado relata que existe problema na injeção de creditos em sua unidade consumidora._x000a__x000a_Reclama do elevado consumo de sua residência._x000a__x000a_Expec: 04/09/26._x000a__x000a_Subsídios encaminhados via Teams aos cuidados do gestor de relacionamento Dian Cleiton em 04/09/2026."/>
    <d v="2026-09-04T00:00:00"/>
    <s v="Informação sobre faturamento GD - Unidade Consumidora 2406080."/>
    <d v="2026-09-04T00:00:00"/>
    <s v="Controle Interno 2406080 - GD _x000a__x000a_Troca de Medidor Para Aferição - Data 30/04/2025.OS 404908453 - Medidor Retirado W0002050271 _x000a__x000a_Canal 03: 21178_x000a__x000a_Canal 103: 16581 _x000a__x000a_Medidor Aprovado pelo INMETRO - Laudo 2859/2025_x000a__x000a_Em análise foi identificado que, na data de 29/05/2025 após ensaios realizados pelo INMETRO foi identificado que não havia inconsistências com o medidor W0002050271 retirado da unidade consumidora 2406080 através da ordem de serviço 404908453._x000a__x000a_Esclarecemos que, na ocasião o medidor W0002050271 apresentava as leituras (03 consumo medido 21178 e 103 energia injetada 16581), contabilizando 560 KWh de consumo residual e 143 KWh de energia ativa injetada residual. _x000a__x000a_Após a substituição dos medidores as leituras foram coletadas mensalmente com visitas regulares realizadas por nossos leituristas e confirmação das grandezas faturáveis (consumo e injetado). _x000a__x000a_Em consulta ao histórico de leitura e faturamento da unidade identificamos que, até a referência 05/2024 a unidade consumidora apresentava uma média de consumo inferior a média de energia injetada, dessa maneira, ao longo dos meses anteriores a energia injetada era superior ao consumo medido, logo, ocorria a compensação de todo consumo medido restando saldo excedente acumulado para compensação nos faturamentos subsequentes. _x000a__x000a_Esclarecemos que, a partir da referência 11/2024 a unidade em questão passou a apresentar uma média de consumo superior ao injetado, no entanto, devido a existência de saldo acumulado de meses anteriores durante o processo de faturamento a compensação estava ocorrendo até o limite do custo de disponibilidade conforme dispõe a resolução vigente._x000a__x000a_Cumpre informar, que até a referência 07/2026 a unidade consumidora dispunha de 680 KWh em saldo acumulado de meses anteriores, portanto, a diferença entre o consumo medido e o injetado na respectiva referência foi compensado considerando o saldo informado resultando em uma diferença de 174 KWh, ocasionando na fatura de R$ 328,70. _x000a__x000a_Para o faturamento da referência 08/2026, foi identificado que, na data de 18/08/2026 em visita realizada ao imóvel foram coletadas as leituras (03 consumo medido 13.562 e 103 energia injetada 11.436), contabilizando 1.405 KWh de consumo e 627 KWh de injetado. Logo, devido ao esgotamento do saldo excedente acumulado em meses anteriores, houve a compensação de toda a energia injetada no respectivo faturamento (627 KWh), restando uma diferença de 778 KWh (consumo medido), resultando na fatura emitida no valor de R$ 1.112,83. _x000a__x000a_Diante dos dados de medição (leituras), informo que o consumo medido e o injetado na referência 08/2026 estão de acordo com os registros contabilizados pelo equipamento de medição instalado na unidade reclamada. Portanto, a fatura emitida no valor de R$ 1.112,83 está correta não havendo înconsistências com o respectivo faturamento."/>
    <m/>
    <m/>
    <d v="2026-09-04T00:00:00"/>
    <s v="Wander Idalino Machado"/>
    <s v="Wander Machado"/>
    <s v="Geraldo Resende - Deputado_x000a_Anne Jackeline - Secretária"/>
    <s v="Dian Cleiton de Brito"/>
    <s v="Sim"/>
    <s v="Visita Domo de Ferro"/>
    <d v="2026-09-04T00:00:00"/>
    <s v="Wander Idalino Machado"/>
    <d v="2026-09-04T00:00:00"/>
    <s v="Wander Idalino Machado"/>
    <n v="100"/>
    <n v="100"/>
    <n v="100"/>
    <s v=""/>
    <m/>
    <s v=""/>
    <x v="5"/>
    <n v="17"/>
    <x v="1"/>
    <x v="1"/>
    <x v="0"/>
    <x v="0"/>
    <n v="0"/>
    <x v="5"/>
  </r>
  <r>
    <s v="1098"/>
    <s v="Visita Domo de Ferro"/>
    <x v="0"/>
    <x v="0"/>
    <d v="2026-09-04T00:00:00"/>
    <s v="Dian Cleiton de Brito"/>
    <s v="Finalizada"/>
    <x v="1"/>
    <s v=""/>
    <s v=""/>
    <s v="0302600330"/>
    <x v="0"/>
    <x v="19"/>
    <x v="3"/>
    <s v="Ivinhema"/>
    <s v="DEPUTADO SOLICITA AGILIZAR OBRA DE MELHORIA PARA ATENDIMENTO A AUMENTO DE CARGA._x000a__x000a_EXPECTATIVA 05/10/26. _x000a__x000a_Orçamento não foi aprovado pelo cliente, dessa maneira, no há possibilidade de agilizar atendimento da obra (agente institucional) orientado via Teams."/>
    <d v="2026-09-04T00:00:00"/>
    <s v="Obra 0302600330 - agilizar programação."/>
    <d v="2026-09-15T00:00:00"/>
    <s v="ORÇAMENTO AINDA NAO APROVADO PELO CLIENTE"/>
    <d v="2026-10-05T00:00:00"/>
    <m/>
    <m/>
    <s v="Amanda Aparecida Teixeira dos Santos"/>
    <s v="Amanda Santos"/>
    <s v="Zé Teixeira - DEPUTADO_x000a_Paulo Roberto - DPRE"/>
    <s v="Dian Cleiton de Brito"/>
    <s v="Sim"/>
    <s v="Visita Domo de Ferro"/>
    <d v="2026-09-15T00:00:00"/>
    <s v="Amanda Aparecida Teixeira dos Santos"/>
    <d v="2026-09-15T00:00:00"/>
    <s v="Amanda Aparecida Teixeira dos Santos"/>
    <n v="100"/>
    <n v="100"/>
    <n v="100"/>
    <s v=""/>
    <m/>
    <s v=""/>
    <x v="6"/>
    <n v="17"/>
    <x v="1"/>
    <x v="1"/>
    <x v="1"/>
    <x v="0"/>
    <n v="11"/>
    <x v="0"/>
  </r>
  <r>
    <s v="1105"/>
    <s v="Visita Domo de Ferro"/>
    <x v="0"/>
    <x v="0"/>
    <d v="2026-05-19T01:00:00"/>
    <s v="Dian Cleiton de Brito"/>
    <s v="Em Andamento"/>
    <x v="0"/>
    <s v=""/>
    <s v=""/>
    <s v="0302500469"/>
    <x v="0"/>
    <x v="8"/>
    <x v="1"/>
    <s v="Bataguassu"/>
    <s v="Solicita realizar a ligação com urgência do loteamento"/>
    <d v="2026-09-09T00:00:00"/>
    <s v="Obra 0302500469 - Favor incluir na programação."/>
    <d v="2026-09-17T00:00:00"/>
    <m/>
    <m/>
    <d v="2026-10-12T00:00:00"/>
    <m/>
    <s v="Amanda Aparecida Teixeira dos Santos"/>
    <s v="Amanda Santos"/>
    <s v="Paulo Roberto do Santos"/>
    <s v="Dian Cleiton de Brito"/>
    <s v="Sim"/>
    <s v="Visita Domo de Ferro"/>
    <d v="2026-09-17T00:00:00"/>
    <s v="Amanda Aparecida Teixeira dos Santos"/>
    <d v="2026-09-17T00:00:00"/>
    <s v="Amanda Aparecida Teixeira dos Santos"/>
    <n v="100"/>
    <n v="100"/>
    <n v="100"/>
    <s v=""/>
    <m/>
    <s v=""/>
    <x v="6"/>
    <n v="124.95833333333576"/>
    <x v="0"/>
    <x v="1"/>
    <x v="0"/>
    <x v="0"/>
    <n v="8"/>
    <x v="0"/>
  </r>
  <r>
    <s v="1110"/>
    <s v="Visita Domo de Ferro"/>
    <x v="0"/>
    <x v="0"/>
    <d v="2026-09-09T00:00:00"/>
    <s v="Dian Cleiton de Brito"/>
    <s v="Em Andamento"/>
    <x v="2"/>
    <s v=" HAMMES COMÉRCIO DE CEREAIS LTDA. ME"/>
    <s v=""/>
    <s v="0202600853"/>
    <x v="0"/>
    <x v="20"/>
    <x v="3"/>
    <s v="Rio Brilhante"/>
    <s v="Solicita agilizar a realização da obra 0202600853_x000a__x000a_EXPECTATIVA: 20/09/26"/>
    <d v="2026-09-10T00:00:00"/>
    <s v="Obra 0202600853 favor incluir na programação."/>
    <m/>
    <m/>
    <d v="2026-09-20T00:00:00"/>
    <m/>
    <m/>
    <s v="Amanda Aparecida Teixeira dos Santos"/>
    <s v=""/>
    <s v="Zé Teixeira_x000a_Paulo Roberto"/>
    <s v="Dian Cleiton de Brito"/>
    <s v="Sim"/>
    <s v="Visita Domo de Ferro"/>
    <d v="2026-09-11T00:00:00"/>
    <s v="Wander Idalino Machado"/>
    <d v="2026-09-11T00:00:00"/>
    <s v="Wander Idalino Machado"/>
    <n v="100"/>
    <n v="100"/>
    <n v="50"/>
    <s v="Programação de Obras e Gestão de Materiais"/>
    <m/>
    <s v="DCMD - PROGRAMAÇÃO DE OBRA"/>
    <x v="1"/>
    <n v="12"/>
    <x v="3"/>
    <x v="0"/>
    <x v="1"/>
    <x v="0"/>
    <n v="11"/>
    <x v="0"/>
  </r>
  <r>
    <s v="1119"/>
    <s v="Visita Domo de Ferro"/>
    <x v="0"/>
    <x v="0"/>
    <d v="2026-09-15T00:00:00"/>
    <s v="Dian Cleiton de Brito"/>
    <s v="Em Andamento"/>
    <x v="2"/>
    <s v=" IRANI ENERHARD"/>
    <s v=""/>
    <s v="0202600755"/>
    <x v="0"/>
    <x v="13"/>
    <x v="3"/>
    <s v="Dourados"/>
    <s v="Deputado Solicita agilizar obra de execução de instalação de ponto de entrega._x000a__x000a_Expectativa 05/10/2026;"/>
    <d v="2026-09-14T00:00:00"/>
    <s v="Obra 0202600755 - Por favor incluir na programação."/>
    <m/>
    <m/>
    <d v="2026-10-05T00:00:00"/>
    <m/>
    <m/>
    <s v="Amanda Aparecida Teixeira dos Santos"/>
    <s v=""/>
    <s v="Zé Teixeira_x000a_Paulo Roberto"/>
    <s v="Dian Cleiton de Brito"/>
    <s v="Sim"/>
    <s v="Visita Domo de Ferro"/>
    <d v="2026-09-15T00:00:00"/>
    <s v="Wander Idalino Machado"/>
    <d v="2026-09-15T00:00:00"/>
    <s v="Wander Idalino Machado"/>
    <n v="100"/>
    <n v="100"/>
    <n v="50"/>
    <s v="Programação de Obras e Gestão de Materiais"/>
    <m/>
    <s v="DCMD - PROGRAMAÇÃO DE OBRA"/>
    <x v="10"/>
    <n v="6"/>
    <x v="3"/>
    <x v="1"/>
    <x v="1"/>
    <x v="0"/>
    <n v="7"/>
    <x v="0"/>
  </r>
  <r>
    <s v="1120"/>
    <s v="Visita Domo de Ferro"/>
    <x v="1"/>
    <x v="1"/>
    <d v="2026-09-16T00:00:00"/>
    <s v="Dian Cleiton de Brito"/>
    <s v="Em Andamento"/>
    <x v="2"/>
    <s v="PONTE PRETA PARTICIPAÇÕES SOCIETÁRIAS LTDA"/>
    <s v="2952299"/>
    <s v=""/>
    <x v="1"/>
    <x v="7"/>
    <x v="4"/>
    <s v="Campo Grande"/>
    <s v="SOLICITA AGILIZAR OS 558638822, considerando que a regularização foi executada._x000a__x000a_Expec 16/09/26"/>
    <d v="2026-09-16T00:00:00"/>
    <s v="Por favor agilizar atendimento da OS 563985314 - Vistoria Para Padronização."/>
    <m/>
    <m/>
    <d v="2026-09-16T00:00:00"/>
    <m/>
    <m/>
    <s v="Jorge Luis Martinelli"/>
    <s v=""/>
    <s v="Jaime Verruck_x000a_Paulo Roberto dos Santos"/>
    <s v="Dian Cleiton de Brito"/>
    <s v="Sim"/>
    <s v="Visita Domo de Ferro"/>
    <d v="2026-09-16T00:00:00"/>
    <s v="Wander Idalino Machado"/>
    <d v="2026-09-16T00:00:00"/>
    <s v="Wander Idalino Machado"/>
    <n v="100"/>
    <n v="100"/>
    <n v="50"/>
    <s v="Ligação Nova GA"/>
    <m/>
    <s v="DECP - LIGAÇÃO GA"/>
    <x v="5"/>
    <n v="5"/>
    <x v="2"/>
    <x v="0"/>
    <x v="1"/>
    <x v="0"/>
    <n v="5"/>
    <x v="6"/>
  </r>
  <r>
    <s v="120"/>
    <s v="Visita Domo de Ferro"/>
    <x v="0"/>
    <x v="0"/>
    <d v="2026-05-08T00:00:00"/>
    <s v="Dian Cleiton de Brito"/>
    <s v="Finalizada"/>
    <x v="1"/>
    <s v=""/>
    <s v=""/>
    <s v="0302500469"/>
    <x v="0"/>
    <x v="8"/>
    <x v="1"/>
    <s v="Bataguassu"/>
    <s v="Solicita agilizar obra de ponto de entrega e loteamento - obra 0302500469_x000a_Expectativa - 10/06/26. PE 7175625_x000a__x000a_OBRAS ASSOCIADAS AO PE FINALIDAS."/>
    <d v="2026-08-03T00:00:00"/>
    <s v="Solicita agilizar obra de ponto de entrega e loteamento - obra 0302500469_x000a_Expectativa - 10/06/26. PE 7175625._x000a_Nova expectativa do cliente 31/07/2026."/>
    <d v="2026-08-13T00:00:00"/>
    <m/>
    <d v="2026-07-31T00:00:00"/>
    <m/>
    <m/>
    <s v="Amanda Aparecida Teixeira dos Santos"/>
    <s v="Gabriella Domingo"/>
    <s v="Paulo Roberto dos Santos"/>
    <s v="Dian Cleiton de Brito"/>
    <s v="Sim"/>
    <s v="Visita Domo de Ferro"/>
    <d v="2026-09-03T00:00:00"/>
    <s v="Moacir Costa Neto"/>
    <d v="2026-08-13T00:00:00"/>
    <s v="Gabriella Amorim Domingo"/>
    <n v="100"/>
    <n v="100"/>
    <n v="75"/>
    <s v=""/>
    <m/>
    <s v=""/>
    <x v="6"/>
    <n v="136"/>
    <x v="0"/>
    <x v="0"/>
    <x v="0"/>
    <x v="0"/>
    <n v="10"/>
    <x v="0"/>
  </r>
  <r>
    <s v="120"/>
    <s v="Visita Domo de Ferro"/>
    <x v="0"/>
    <x v="1"/>
    <d v="2026-05-08T00:00:00"/>
    <s v="Dian Cleiton de Brito"/>
    <s v="Finalizada"/>
    <x v="1"/>
    <s v=""/>
    <s v=""/>
    <s v=""/>
    <x v="0"/>
    <x v="8"/>
    <x v="1"/>
    <s v="Bataguassu"/>
    <s v="Solicita agilizar obra de ponto de entrega e loteamento - obra 0302500469_x000a_Expectativa - 10/06/26. PE 7175625_x000a__x000a_OBRAS ASSOCIADAS AO PE FINALIDAS."/>
    <d v="2026-06-22T00:00:00"/>
    <s v="Dian, gentileza reavaliar a expectativa do cliente._x000a_Solicita agilizar obra de ponto de entrega e loteamento - obra 0302500469_x000a_Expectativa - 10/06/26. PE 7175625"/>
    <d v="2026-08-25T00:00:00"/>
    <s v="Obras relacionadas ao PE concluídas."/>
    <m/>
    <m/>
    <d v="2026-08-25T00:00:00"/>
    <s v="Dian Cleiton de Brito"/>
    <s v="Wander Machado"/>
    <s v="Paulo Roberto dos Santos"/>
    <s v="Dian Cleiton de Brito"/>
    <s v="Sim"/>
    <s v="Visita Domo de Ferro"/>
    <d v="2026-09-03T00:00:00"/>
    <s v="Moacir Costa Neto"/>
    <d v="2026-08-25T00:00:00"/>
    <s v="Wander Idalino Machado"/>
    <n v="100"/>
    <n v="100"/>
    <n v="100"/>
    <s v=""/>
    <m/>
    <s v=""/>
    <x v="6"/>
    <n v="136"/>
    <x v="0"/>
    <x v="1"/>
    <x v="0"/>
    <x v="0"/>
    <n v="64"/>
    <x v="7"/>
  </r>
  <r>
    <s v="670"/>
    <s v="Visita Domo de Ferro"/>
    <x v="5"/>
    <x v="0"/>
    <d v="2026-03-03T00:00:00"/>
    <s v="Danila Hertal Moreira Souza"/>
    <s v="Em Andamento"/>
    <x v="1"/>
    <s v=""/>
    <s v="9000076"/>
    <s v=""/>
    <x v="2"/>
    <x v="4"/>
    <x v="1"/>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6-18T00:00:00"/>
    <s v="Status atual: Em atuação campo (DEOP/DCMD). _x000a_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9-04T00:00:00"/>
    <s v="Podas e limpeza de faixas concluidas dia 04/09/26"/>
    <d v="2026-07-31T00:00:00"/>
    <m/>
    <d v="2026-09-04T00:00:00"/>
    <s v="Evair Rogerio da Conceicao"/>
    <s v="Gabriella Domingo"/>
    <m/>
    <s v="Danila Hertal Moreira Souza"/>
    <s v="Sim"/>
    <s v="Visita Domo de Ferro"/>
    <d v="2026-09-04T00:00:00"/>
    <s v="Gabriella Amorim Domingo"/>
    <d v="2026-09-04T00:00:00"/>
    <s v="Gabriella Amorim Domingo"/>
    <n v="100"/>
    <n v="100"/>
    <n v="100"/>
    <s v=""/>
    <m/>
    <s v=""/>
    <x v="3"/>
    <n v="202"/>
    <x v="0"/>
    <x v="0"/>
    <x v="0"/>
    <x v="0"/>
    <n v="78"/>
    <x v="3"/>
  </r>
  <r>
    <s v="670"/>
    <s v="Visita Domo de Ferro"/>
    <x v="2"/>
    <x v="2"/>
    <d v="2026-03-03T00:00:00"/>
    <s v="Danila Hertal Moreira Souza"/>
    <s v="Em Andamento"/>
    <x v="0"/>
    <s v=""/>
    <s v="9000076"/>
    <s v=""/>
    <x v="2"/>
    <x v="4"/>
    <x v="1"/>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7-30T00:00:00"/>
    <s v="Conforme pactuado na reunião de qualidade realizada em 23/07/2026, ficou como saída a instalação de 07 medidores para avaliação dos níveis de tensão das unidades reclamadas e refazer os estudos de religamentos. Conforme alinhado o DESC planilhou as unidades consumidoras por ordem de prioridade para as devidas atuações (planilha em anexo)."/>
    <d v="2026-09-04T00:00:00"/>
    <m/>
    <m/>
    <m/>
    <m/>
    <s v="Luan Henrique Soares Diniz Afonso"/>
    <s v="Gabriella Domingo"/>
    <m/>
    <s v="Danila Hertal Moreira Souza"/>
    <s v="Sim"/>
    <s v="Visita Domo de Ferro"/>
    <d v="2026-09-04T00:00:00"/>
    <s v="Gabriella Amorim Domingo"/>
    <d v="2026-09-04T00:00:00"/>
    <s v="Gabriella Amorim Domingo"/>
    <n v="100"/>
    <n v="100"/>
    <n v="100"/>
    <s v=""/>
    <m/>
    <s v=""/>
    <x v="3"/>
    <n v="202"/>
    <x v="0"/>
    <x v="1"/>
    <x v="0"/>
    <x v="0"/>
    <n v="36"/>
    <x v="2"/>
  </r>
  <r>
    <s v="670"/>
    <s v="Visita Domo de Ferro"/>
    <x v="2"/>
    <x v="1"/>
    <d v="2026-03-03T00:00:00"/>
    <s v="Danila Hertal Moreira Souza"/>
    <s v="Em Andamento"/>
    <x v="1"/>
    <s v=""/>
    <s v="9000076"/>
    <s v=""/>
    <x v="2"/>
    <x v="4"/>
    <x v="1"/>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8-07T00:00:00"/>
    <s v="Notificar cliente sobre o andamento das ações e necessidade de apresentação de estudo de proteção, avaliar possível problemas internos"/>
    <d v="2026-08-21T00:00:00"/>
    <s v="NOTIFICAÇÃO ENVIADA"/>
    <m/>
    <d v="2026-08-18T00:00:00"/>
    <d v="2026-08-21T00:00:00"/>
    <s v="Julio Cesar dos Santos Antonelo"/>
    <s v="Julio Antonelo"/>
    <m/>
    <s v="Danila Hertal Moreira Souza"/>
    <s v="Sim"/>
    <s v="Visita Domo de Ferro"/>
    <d v="2026-08-25T00:00:00"/>
    <s v="Moacir Costa Neto"/>
    <d v="2026-08-21T00:00:00"/>
    <s v="Julio Cesar dos Santos Antonelo"/>
    <n v="100"/>
    <n v="100"/>
    <n v="100"/>
    <s v=""/>
    <m/>
    <s v=""/>
    <x v="3"/>
    <n v="202"/>
    <x v="0"/>
    <x v="1"/>
    <x v="0"/>
    <x v="0"/>
    <n v="14"/>
    <x v="1"/>
  </r>
  <r>
    <s v="670"/>
    <s v="Visita Domo de Ferro"/>
    <x v="6"/>
    <x v="1"/>
    <d v="2026-03-03T00:00:00"/>
    <s v="Danila Hertal Moreira Souza"/>
    <s v="Em Andamento"/>
    <x v="0"/>
    <s v="Sanesul"/>
    <s v="9000076"/>
    <s v=""/>
    <x v="2"/>
    <x v="4"/>
    <x v="1"/>
    <s v="Corumbá"/>
    <s v="Origem Externa: SANESUL_x000a_Nome do Solicitante: RENATO MARCILIO DA SILVA_x000a_Número Ofício: 6226/2025/PSEC/ALEMS_x000a_Manifestação:_x000a_Em 02/03/2026 - realizada reunião presencial na Energisa com os diretores da SANESUL para tratar da qualidade de fornecimento das unidades de Corumbá._x000a_Conforme documento anexo, cliente reclama de constantes oscilações no fornecimento de energia elétrica nas unidades de Corumbá. No Município não existem poços profundos, assim toda a produção de agua para o sistema ocorre através de captação superficial direto do rio Paraguai._x000a__x000a_UCs: 9000076_x000a_1717627_x000a_30723_x000a_1699438_x000a_1702111_x000a_1698960_x000a_1142916_x000a__x000a_Segue ofício em anexo."/>
    <d v="2026-09-09T00:00:00"/>
    <s v="Após a conclusão das ações por parte DEOP/DCMD, elaborar parecer e retornar ao cliente com as devolutivas."/>
    <m/>
    <m/>
    <m/>
    <m/>
    <m/>
    <s v="Julio Cesar dos Santos Antonelo"/>
    <s v=""/>
    <m/>
    <s v="Danila Hertal Moreira Souza"/>
    <s v="Sim"/>
    <s v="Visita Domo de Ferro"/>
    <d v="2026-09-09T00:00:00"/>
    <s v="Rafael Penteado Rodrigues Martins"/>
    <d v="2026-09-09T00:00:00"/>
    <s v="Rafael Penteado Rodrigues Martins"/>
    <n v="100"/>
    <n v="100"/>
    <n v="50"/>
    <s v=""/>
    <m/>
    <s v="CGCP"/>
    <x v="3"/>
    <n v="202"/>
    <x v="0"/>
    <x v="1"/>
    <x v="0"/>
    <x v="0"/>
    <n v="12"/>
    <x v="1"/>
  </r>
  <r>
    <s v="824"/>
    <s v="Visita Domo de Ferro"/>
    <x v="2"/>
    <x v="2"/>
    <d v="2026-06-11T00:00:00"/>
    <s v="Monike Chaves"/>
    <s v="Em Andamento"/>
    <x v="2"/>
    <s v=""/>
    <s v=""/>
    <s v=""/>
    <x v="0"/>
    <x v="21"/>
    <x v="0"/>
    <s v="Eldorado"/>
    <s v="ATA DE REUNIÃO – ASSENTAMENTO FLORESTA BRANCA_x000a__x000a_Data: 11 de junho de 2026_x000a_Local: Município de Eldorado/MS_x000a_Participantes: Representantes da Prefeitura Municipal, Energisa MS, Vereadora Mara, moradores e produtores rurais do Assentamento Floresta Branca._x000a__x000a_Aos onze dias do mês de junho de dois mil e vinte e seis, realizou-se reunião entre representantes da Prefeitura Municipal de Eldorado, da Energisa MS e moradores do Assentamento Floresta Branca, com o objetivo de discutir os problemas relacionados ao fornecimento de energia elétrica na comunidade._x000a__x000a_A Prefeita Municipal abriu a reunião agradecendo a presença de todos e destacou a importância da participação da Vereadora Mara como representante da comunidade, enfatizando a necessidade de união entre população, poder público e concessionária para a busca de soluções efetivas._x000a__x000a_Durante a reunião, os moradores relataram diversos problemas relacionados ao fornecimento de energia elétrica, entre eles:_x000a__x000a_* Quedas frequentes de energia, principalmente durante chuvas e ventos;_x000a_* Oscilações constantes de tensão;_x000a_* Rompimento de cabos da rede elétrica;_x000a_* Queima de eletrodomésticos, motores, bombas d’água, ordenhadeiras, resfriadores de leite e outros equipamentos;_x000a_* Demora no atendimento das ocorrências registradas junto à concessionária;_x000a_* Problemas em transformadores considerados insuficientes para atender à demanda atual das propriedades;_x000a_* Dificuldades para obtenção de ressarcimento por danos elétricos._x000a__x000a_A Vereadora Mara destacou que as reclamações são recorrentes e afetam grande parte das famílias do assentamento, mencionando casos específicos de prejuízos financeiros causados pela queima de equipamentos e pela interrupção das atividades produtivas._x000a__x000a_Representando a Energisa, o Supervisor de Construção e Manutenção, Sr. André, esclareceu os procedimentos adotados pela empresa, destacando a necessidade de registro das ocorrências por meio dos canais oficiais de atendimento e a importância da atualização cadastral das unidades consumidoras, especialmente quanto à declaração de carga instalada nas propriedades._x000a__x000a__x000a_Ficaram definidos os seguintes encaminhamentos:_x000a__x000a_1. A Energisa realizará uma inspeção geral na rede elétrica do Assentamento Floresta Branca;_x000a_2. Será efetuado levantamento das necessidades de poda de vegetação próxima à rede elétrica;_x000a_3. Serão analisados os casos de transformadores com possível necessidade de adequação ou aumento de capacidade;_x000a_4. A concessionária avaliará os protocolos de ressarcimento e as solicitações já registradas pelos moradores;_x000a_5. Será criado um grupo de comunicação entre representantes da comunidade e a Energisa para acompanhamento das demandas e divulgação das ações executadas;_x000a_6. A Energisa comprometeu-se a apresentar retorno à comunidade após a realização das inspeções e análises técnicas._x000a__x000a_Ao final da reunião, a Prefeita informou que o município está providenciando melhorias nas estradas do assentamento, mediante utilização de material fresado asfáltico recentemente disponibilizado para manutenção dos trechos mais críticos._x000a__x000a_Nada mais havendo a tratar, a reunião foi encerrada, ficando registrados os compromissos assumidos pelas partes para acompanhamento e solução das demandas apresentadas._x000a__x000a_Eldorado/MS, 11 de junho de 2026."/>
    <d v="2026-07-08T00:00:00"/>
    <s v="Ficaram definidos os seguintes encaminhamentos:_x000a__x000a_1. A Energisa realizará uma inspeção geral na rede elétrica do Assentamento Floresta Branca;_x000a_2. Será efetuado levantamento das necessidades de poda de vegetação próxima à rede elétrica;_x000a_3. Serão analisados os casos de transformadores com possível necessidade de adequação ou aumento de capacidade;_x000a_4. A concessionária avaliará os protocolos de ressarcimento e as solicitações já registradas pelos moradores;_x000a_5. Será criado um grupo de comunicação entre representantes da comunidade e a Energisa para acompanhamento das demandas e divulgação das ações executadas;_x000a_6. A Energisa comprometeu-se a apresentar retorno à comunidade após a realização das inspeções e análises técnicas._x000a__x000a_LUAN, QUAL PREVISÃO DAS CONCLUSÕES DAS AÇÕES?"/>
    <d v="2026-08-18T00:00:00"/>
    <m/>
    <m/>
    <m/>
    <m/>
    <s v="Luan Henrique Soares Diniz Afonso"/>
    <s v="Bruna Santos"/>
    <s v="Prefeita Fabiana_x000a_Vereadora Mara_x000a_Assentados _x000a_Andre Guilherme _x000a_Paulo Giovani"/>
    <s v="Monike Chaves"/>
    <s v="Sim"/>
    <s v="Agente de Relacionamento"/>
    <d v="2026-09-03T00:00:00"/>
    <s v="Moacir Costa Neto"/>
    <d v="2026-08-18T00:00:00"/>
    <s v="Bruna Fabiana Braguin dos Santos"/>
    <n v="100"/>
    <n v="100"/>
    <n v="75"/>
    <s v=""/>
    <m/>
    <s v=""/>
    <x v="4"/>
    <n v="102"/>
    <x v="0"/>
    <x v="1"/>
    <x v="0"/>
    <x v="0"/>
    <n v="41"/>
    <x v="2"/>
  </r>
  <r>
    <s v="825"/>
    <s v="Visita Domo de Ferro"/>
    <x v="7"/>
    <x v="0"/>
    <d v="2026-07-03T00:00:00"/>
    <s v="Monike Chaves"/>
    <s v="Finalizada"/>
    <x v="1"/>
    <s v=""/>
    <s v=""/>
    <s v=""/>
    <x v="0"/>
    <x v="6"/>
    <x v="0"/>
    <s v="Tacuru"/>
    <s v="OS 877 - ORÇAMENTO_x000a__x000a_OS 548014238 - KATILENE_x000a_OS 548017784 - VILINA_x000a_OS 548023636 - MARILENE_x000a__x000a_SOLICITAÇÃO APOS REUNIÃO"/>
    <d v="2026-07-09T00:00:00"/>
    <s v="OS 877 - ORÇAMENTO_x000a_OS 548014238 - KATILENE_x000a_OS 548017784 - VILINA_x000a_OS 548023636 - MARILENE_x000a_SOLICITAÇÃO APOS REUNIÃO._x000a_Por favor agilizar atendimento das ordens de serviço supracitadas."/>
    <d v="2026-08-18T00:00:00"/>
    <s v="OS'S FINALIZADAS"/>
    <m/>
    <d v="2026-08-04T00:00:00"/>
    <d v="2026-08-04T00:00:00"/>
    <s v="Bruna Victoria Rodrigues Ricardes"/>
    <s v="Bruna Santos"/>
    <s v="Rui Pires AGEHAB"/>
    <s v=""/>
    <s v="Sim"/>
    <s v="Visita Domo de Ferro"/>
    <d v="2026-09-03T00:00:00"/>
    <s v="Moacir Costa Neto"/>
    <d v="2026-08-18T00:00:00"/>
    <s v="Bruna Fabiana Braguin dos Santos"/>
    <n v="100"/>
    <n v="100"/>
    <n v="75"/>
    <s v=""/>
    <m/>
    <s v=""/>
    <x v="4"/>
    <n v="80"/>
    <x v="0"/>
    <x v="1"/>
    <x v="0"/>
    <x v="0"/>
    <n v="40"/>
    <x v="4"/>
  </r>
  <r>
    <s v="831"/>
    <s v="Visita Domo de Ferro"/>
    <x v="0"/>
    <x v="0"/>
    <d v="2026-07-08T00:00:00"/>
    <s v="Monike Chaves"/>
    <s v="Finalizada"/>
    <x v="1"/>
    <s v=""/>
    <s v=""/>
    <s v="0502600521"/>
    <x v="0"/>
    <x v="6"/>
    <x v="0"/>
    <s v="Tacuru"/>
    <s v="Prefeito de Tacuru informou que o posto de saúde será construído com recursos federal e tem prazos. Agradeço analise a OS 545194335."/>
    <d v="2026-08-12T00:00:00"/>
    <s v="Por favor verificar possibilidade de agilizar atendimento da Obra 0502600521."/>
    <d v="2026-08-24T00:00:00"/>
    <m/>
    <d v="2026-08-19T00:00:00"/>
    <m/>
    <d v="2026-08-18T00:00:00"/>
    <s v="Amanda Aparecida Teixeira dos Santos"/>
    <s v="Rafaela Almeida"/>
    <s v="Prefeito Rogerio."/>
    <s v="Jonas Ortiz Rudis"/>
    <s v="Sim"/>
    <s v="Visita Domo de Ferro"/>
    <d v="2026-09-03T00:00:00"/>
    <s v="Moacir Costa Neto"/>
    <d v="2026-08-24T00:00:00"/>
    <s v="Rafaela Mattos de Almeida"/>
    <n v="100"/>
    <n v="100"/>
    <n v="100"/>
    <s v=""/>
    <m/>
    <s v=""/>
    <x v="4"/>
    <n v="75"/>
    <x v="0"/>
    <x v="1"/>
    <x v="0"/>
    <x v="0"/>
    <n v="12"/>
    <x v="0"/>
  </r>
  <r>
    <s v="847"/>
    <s v="Visita Domo de Ferro"/>
    <x v="0"/>
    <x v="0"/>
    <d v="2026-07-10T00:00:00"/>
    <s v="Monike Chaves"/>
    <s v="Finalizada"/>
    <x v="1"/>
    <s v=""/>
    <s v=""/>
    <s v="0402500933"/>
    <x v="0"/>
    <x v="22"/>
    <x v="0"/>
    <s v="Ponta Porã"/>
    <s v="A solicitação refere-se a um poste localizado dentro do terreno da cliente, o que tem gerado diversos transtornos, pois ela precisa realizar manobras e desvios sempre que entra ou sai com seu veículo._x000a__x000a_Além disso, a cliente compareceu à agência bastante insatisfeita, relatando que um vizinho, cuja solicitação de obra foi registrada posteriormente, já está sendo atendido por uma intervenção na mesma rede, o que tem aumentado sua percepção de demora no atendimento do próprio pedido._x000a__x000a_Central do Cliente (12/08/2026): Em análise foi identificado que a obra 040-25-00933 encontra-se concluída fisicamente (04/08/2026)."/>
    <d v="2026-07-10T00:00:00"/>
    <s v="A solicitação refere-se a um poste localizado dentro do terreno da cliente, o que tem gerado diversos transtornos, pois ela precisa realizar manobras e desvios sempre que entra ou sai com seu veículo._x000a__x000a_Além disso, a cliente compareceu à agência bastante insatisfeita, relatando que um vizinho, cuja solicitação de obra foi registrada posteriormente, já está sendo atendido por uma intervenção na mesma rede, o que tem aumentado sua percepção de demora no atendimento do próprio pedido._x000a_Obra: 0402500933"/>
    <d v="2026-08-04T00:00:00"/>
    <s v="obra concluída 31/07"/>
    <d v="2026-07-31T00:00:00"/>
    <d v="2026-07-31T00:00:00"/>
    <d v="2026-07-31T00:00:00"/>
    <s v="Felipe Souza do Nascimento"/>
    <s v="Amanda Santos"/>
    <s v="Cliente esteve na prefeitura e na agencia de atendimento informando que irá acionar a TV, pois o prazo de relocação do poste de dentro do seu terreno está vencido, e diarimente ela tem que deixar seu carro fora de casa."/>
    <s v=""/>
    <s v="Sim"/>
    <s v="Visita Domo de Ferro"/>
    <d v="2026-09-03T00:00:00"/>
    <s v="Moacir Costa Neto"/>
    <d v="2026-08-04T00:00:00"/>
    <s v="Amanda Aparecida Teixeira dos Santos"/>
    <n v="100"/>
    <n v="100"/>
    <n v="100"/>
    <s v=""/>
    <m/>
    <s v=""/>
    <x v="0"/>
    <n v="73"/>
    <x v="0"/>
    <x v="1"/>
    <x v="0"/>
    <x v="0"/>
    <n v="25"/>
    <x v="0"/>
  </r>
  <r>
    <s v="861"/>
    <s v="Visita Domo de Ferro"/>
    <x v="0"/>
    <x v="0"/>
    <d v="2026-07-14T00:00:00"/>
    <s v="Monike Chaves"/>
    <s v="Finalizada"/>
    <x v="1"/>
    <s v=""/>
    <s v=""/>
    <s v=""/>
    <x v="0"/>
    <x v="13"/>
    <x v="0"/>
    <s v="Dourados"/>
    <s v="Rua Araxá _x000a_OS 549831406_x000a_ _x000a_Rua Delci leite Doffinger_x000a_OS 549837530_x000a__x000a_Gentielza analisar a liberação desse orçamento antes do prazo de 30 dias, foi um erro interno que não gerou todas as ligações do ofício."/>
    <d v="2026-07-14T00:00:00"/>
    <s v="* Rua Araxá - OS 549831406_x000a_*Rua Delci leite Doffinger - OS 549837530_x000a_Gentileza analisar a liberação desses orçamentos antes do prazo de 30 dias, foi um erro interno que não gerou todas as ligações do ofício."/>
    <d v="2026-08-20T00:00:00"/>
    <m/>
    <d v="2026-09-23T00:00:00"/>
    <d v="2026-07-24T00:00:00"/>
    <d v="2026-08-10T00:00:00"/>
    <s v="Bruna Victoria Rodrigues Ricardes"/>
    <s v="Rafaela Almeida"/>
    <s v="Neilton  - Engenheiro responsavel"/>
    <s v=""/>
    <s v="Sim"/>
    <s v="Agente de Relacionamento"/>
    <d v="2026-09-03T00:00:00"/>
    <s v="Moacir Costa Neto"/>
    <d v="2026-08-20T00:00:00"/>
    <s v="Rafaela Mattos de Almeida"/>
    <n v="100"/>
    <n v="100"/>
    <n v="100"/>
    <s v=""/>
    <m/>
    <s v=""/>
    <x v="10"/>
    <n v="69"/>
    <x v="0"/>
    <x v="1"/>
    <x v="1"/>
    <x v="0"/>
    <n v="37"/>
    <x v="4"/>
  </r>
  <r>
    <s v="869"/>
    <s v="Visita Domo de Ferro"/>
    <x v="0"/>
    <x v="0"/>
    <d v="2026-07-14T00:00:00"/>
    <s v="Availdo Taveira de Oliveira"/>
    <s v="Finalizada"/>
    <x v="1"/>
    <s v=""/>
    <s v=""/>
    <s v="0152600219"/>
    <x v="2"/>
    <x v="23"/>
    <x v="0"/>
    <s v="Jardim"/>
    <s v="Visita Domo de Ferro. _x000a_Por favor agilizar atendimento da Obra 0152600219._x000a_Expectativa do Cliente 31/07/2026._x000a_Solicitado apoio pelo vice-prefeito do municipio._x000a_Sem anexos._x000a__x000a_Central do Cliente (12/08/2026): Em análise foi identificado que a construção física da Obra 0152600219 está concluída"/>
    <d v="2026-07-15T00:00:00"/>
    <s v="Visita Domo de Ferro. _x000a_Por favor agilizar atendimento da Obra 0152600219._x000a_Expectativa do Cliente 31/07/2026._x000a_Solicitado apoio pelo vice-prefeito do município._x000a_Sem anexos._x000a_Availdo já alinhou o atendimento com o Supervisor Paulo Vitor e Coordenador Eduardo Batalha."/>
    <d v="2026-07-22T00:00:00"/>
    <s v="OBRA CONCLUIDA 17/07"/>
    <d v="2026-07-31T00:00:00"/>
    <m/>
    <d v="2026-07-17T00:00:00"/>
    <s v="Felipe Souza do Nascimento"/>
    <s v="Amanda Santos"/>
    <s v="Agente de Relacionamento Availdo"/>
    <s v="Availdo Taveira de Oliveira"/>
    <s v="Sim"/>
    <s v="Visita Domo de Ferro"/>
    <d v="2026-09-03T00:00:00"/>
    <s v="Moacir Costa Neto"/>
    <d v="2026-07-22T00:00:00"/>
    <s v="Amanda Aparecida Teixeira dos Santos"/>
    <n v="100"/>
    <n v="100"/>
    <n v="100"/>
    <s v=""/>
    <m/>
    <s v=""/>
    <x v="12"/>
    <n v="69"/>
    <x v="0"/>
    <x v="1"/>
    <x v="0"/>
    <x v="0"/>
    <n v="7"/>
    <x v="0"/>
  </r>
  <r>
    <s v="875"/>
    <s v="Visita Domo de Ferro"/>
    <x v="0"/>
    <x v="0"/>
    <d v="2026-07-16T00:00:00"/>
    <s v="Monike Chaves"/>
    <s v="Finalizada"/>
    <x v="1"/>
    <s v=""/>
    <s v=""/>
    <s v=""/>
    <x v="0"/>
    <x v="22"/>
    <x v="0"/>
    <s v="Ponta Porã"/>
    <s v="Gentielza priorizar tratativa de obra do loteamento de Ponta Porã, está parado a verba na caixa economica e tem prazos. OS 551631953. Documentos anexo a OS."/>
    <d v="2026-07-16T00:00:00"/>
    <s v="Gentileza priorizar tratativa de obra do loteamento de Ponta Porã, está parado a verba na caixa econômica e tem prazos. OS 551631953 Orçamento de Conexão.. Documentos anexo a OS."/>
    <d v="2026-08-18T00:00:00"/>
    <s v="TRATA-SE DE LOTEAMENTO, DEVE TER PE PARA SEGUIMENTO"/>
    <d v="2026-07-31T00:00:00"/>
    <m/>
    <d v="2026-08-18T00:00:00"/>
    <s v="Bruna Victoria Rodrigues Ricardes"/>
    <s v="Bruna Santos"/>
    <s v="secretario de obras Joelson"/>
    <s v=""/>
    <s v="Sim"/>
    <s v="Visita Domo de Ferro"/>
    <d v="2026-09-03T00:00:00"/>
    <s v="Moacir Costa Neto"/>
    <d v="2026-08-18T00:00:00"/>
    <s v="Bruna Fabiana Braguin dos Santos"/>
    <n v="100"/>
    <n v="100"/>
    <n v="100"/>
    <s v=""/>
    <m/>
    <s v=""/>
    <x v="0"/>
    <n v="67"/>
    <x v="0"/>
    <x v="0"/>
    <x v="0"/>
    <x v="0"/>
    <n v="33"/>
    <x v="4"/>
  </r>
  <r>
    <s v="893"/>
    <s v="Visita Domo de Ferro"/>
    <x v="1"/>
    <x v="1"/>
    <d v="2026-07-22T00:00:00"/>
    <s v="Dian Cleiton de Brito"/>
    <s v="Em Andamento"/>
    <x v="2"/>
    <s v="Reinaldo Jobes Gonçalves"/>
    <s v=""/>
    <s v="0602600372"/>
    <x v="1"/>
    <x v="24"/>
    <x v="0"/>
    <s v="Inocência"/>
    <s v="Obra para atender a usina de asfalto responsavel pelas obras no município._x000a__x000a_&quot;Usina de Asfalto para Pavimentação da MS316, que está necessitando dessa área, já irão iniciar a cobertura com a Capa de Asfalto.&quot;_x000a__x000a_Expectativa:. 20/08/26."/>
    <d v="2026-09-18T00:00:00"/>
    <s v="Por favor entrar em contato com o cliente para repactuação da expectativa."/>
    <m/>
    <m/>
    <m/>
    <m/>
    <m/>
    <s v="Marcelly Arce Avalo Franca"/>
    <s v=""/>
    <s v="Antonio Ãngelo - Prefeito"/>
    <s v="Dian Cleiton de Brito"/>
    <s v="Sim"/>
    <s v="Visita Domo de Ferro"/>
    <d v="2026-09-18T00:00:00"/>
    <s v="Wander Idalino Machado"/>
    <d v="2026-09-18T00:00:00"/>
    <s v="Wander Idalino Machado"/>
    <n v="100"/>
    <n v="100"/>
    <n v="50"/>
    <s v="Relacionamento com cliente"/>
    <m/>
    <s v="CGCP"/>
    <x v="11"/>
    <n v="61"/>
    <x v="0"/>
    <x v="1"/>
    <x v="0"/>
    <x v="0"/>
    <n v="3"/>
    <x v="1"/>
  </r>
  <r>
    <s v="893"/>
    <s v="Visita Domo de Ferro"/>
    <x v="0"/>
    <x v="0"/>
    <d v="2026-07-22T00:00:00"/>
    <s v="Dian Cleiton de Brito"/>
    <s v="Em Andamento"/>
    <x v="2"/>
    <s v="Reinaldo Jobes Gonçalves"/>
    <s v=""/>
    <s v="0602600372"/>
    <x v="1"/>
    <x v="24"/>
    <x v="0"/>
    <s v="Inocência"/>
    <s v="Obra para atender a usina de asfalto responsavel pelas obras no município._x000a__x000a_&quot;Usina de Asfalto para Pavimentação da MS316, que está necessitando dessa área, já irão iniciar a cobertura com a Capa de Asfalto.&quot;_x000a__x000a_Expectativa:. 20/08/26."/>
    <d v="2026-09-18T00:00:00"/>
    <s v="Obra 0602600372 - Por favor incluir na programação."/>
    <m/>
    <m/>
    <m/>
    <m/>
    <m/>
    <s v="Amanda Aparecida Teixeira dos Santos"/>
    <s v=""/>
    <s v="Antonio Ãngelo - Prefeito"/>
    <s v="Dian Cleiton de Brito"/>
    <s v="Sim"/>
    <s v="Visita Domo de Ferro"/>
    <d v="2026-09-18T00:00:00"/>
    <s v="Wander Idalino Machado"/>
    <d v="2026-09-18T00:00:00"/>
    <s v="Wander Idalino Machado"/>
    <n v="100"/>
    <n v="100"/>
    <n v="50"/>
    <s v="Programação de Obras e Gestão de Materiais"/>
    <m/>
    <s v="DCMD - PROGRAMAÇÃO DE OBRA"/>
    <x v="11"/>
    <n v="61"/>
    <x v="0"/>
    <x v="1"/>
    <x v="0"/>
    <x v="0"/>
    <n v="3"/>
    <x v="0"/>
  </r>
  <r>
    <s v="898"/>
    <s v="Visita Domo de Ferro"/>
    <x v="4"/>
    <x v="1"/>
    <d v="2026-07-22T00:00:00"/>
    <s v="Monike Chaves"/>
    <s v="Finalizada"/>
    <x v="1"/>
    <s v=""/>
    <s v=""/>
    <s v="0302500580 - 0302600271 - 0302600248"/>
    <x v="0"/>
    <x v="25"/>
    <x v="0"/>
    <s v="Angélica"/>
    <s v="ATA DE REUNIÃO_x000a__x000a_Data: 23/07 2026_x000a_Local: Prefeitura Municipal de Angélica – MS_x000a_Participantes: Representantes da Prefeitura Municipal de Angélica, Energisa MS, Secretários Municipais._x000a__x000a_Pauta_x000a__x000a_* Fortalecimento da parceria entre Prefeitura e Energisa._x000a_* Manejo da arborização urbana e convênio de poda._x000a_* Programação de desligamentos e intervenções na rede elétrica._x000a_* Demandas relacionadas à qualidade do fornecimento de energia._x000a_* Sobrecarga da rede elétrica e aumento de carga._x000a_* Acompanhamento de solicitações técnicas em unidades públicas._x000a__x000a_Desenvolvimento da reunião_x000a__x000a_A reunião teve como objetivo alinhar o relacionamento entre a Prefeitura de Angélica e a Energisa, fortalecendo a comunicação entre as equipes técnicas e operacionais para agilizar o atendimento das demandas do município._x000a__x000a_Inicialmente, foi apresentada a estrutura operacional da Energisa responsável pela região sul do Estado, destacando o atendimento realizado pelas equipes locais, pelo supervisor regional e pelo técnico responsável pela área, bem como os canais de atendimento disponíveis para o município._x000a__x000a_O prefeito ressaltou que um dos principais desafios enfrentados atualmente é a arborização urbana. Foi informado que diversas árvores foram plantadas em gestões anteriores sem planejamento adequado, estando hoje em conflito com a rede elétrica, o que ocasiona interrupções no fornecimento de energia, riscos operacionais e aumento dos custos de manutenção._x000a__x000a_Também foi relatada a dificuldade em programar desligamentos da rede para execução das podas, reforçando a necessidade de maior integração entre Prefeitura e Energisa para planejamento conjunto das intervenções._x000a__x000a_A Energisa esclareceu que, atualmente, os desligamentos programados são bastante restritos em razão das exigências regulatórias da ANEEL, motivo pelo qual a concessionária prioriza, sempre que possível, a utilização de equipes de Linha Viva para realização dos serviços com a rede energizada._x000a__x000a_Como alternativa, foi sugerido que a Prefeitura encaminhe, com antecedência, sua programação semanal ou pontual de podas por meio de ofício direcionado ao canal de atendimento do Poder Público. Dessa forma, a concessionária poderá avaliar cada situação e compatibilizar o cronograma das equipes._x000a__x000a_Durante a reunião foi destacado que o município possui interesse em manter uma parceria permanente com a Energisa para que as equipes possam atuar de forma coordenada, evitando riscos, reduzindo impactos à população e garantindo maior eficiência nas ações._x000a__x000a_Na sequência, foi discutido o Convênio de Poda encaminhado anteriormente pela Energisa ao município. Ficou registrado que o documento foi enviado à Secretaria Municipal de Meio Ambiente e será verificada sua tramitação para assinatura._x000a__x000a_Foi reforçado que o convênio prevê:_x000a__x000a_* atuação da Energisa nas podas emergenciais e nas intervenções em vegetação que oferece risco à rede elétrica;_x000a_* apoio da Prefeitura na retirada e destinação dos resíduos vegetais;_x000a_* maior agilidade nas autorizações necessárias;_x000a_* segurança jurídica para execução dos serviços;_x000a_* possibilidade de atendimento de árvores em situação crítica mediante solicitação formal do município._x000a__x000a_O prefeito destacou que o convênio auxiliará o município perante os órgãos de fiscalização e controle, além de facilitar o planejamento das futuras intervenções._x000a__x000a_Também foi apresentada pela Energisa a possibilidade de utilização do viveiro de mudas da concessionária para doação de espécies adequadas ao plantio urbano, incentivando a substituição gradual das árvores incompatíveis com a rede elétrica por espécies apropriadas._x000a__x000a_Na sequência, foram discutidas ocorrências relacionadas ao fornecimento de energia elétrica._x000a__x000a_Foi citado como exemplo positivo um problema recorrente em determinado setor da cidade que foi solucionado após a retirada de uma árvore em conflito com a rede elétrica, eliminando as interrupções registradas anteriormente._x000a__x000a_O prefeito também relatou ocorrências de oscilações de tensão em alguns bairros e destacou a necessidade de análise técnica sempre que identificadas situações semelhantes._x000a__x000a_A Energisa explicou que diversos casos decorrem do aumento de carga das unidades consumidoras, quando os clientes ampliam suas instalações elétricas sem comunicar previamente a distribuidora. Nesses casos, é necessária a solicitação formal para análise e eventual redimensionamento da carga._x000a__x000a_Outro tema abordado foi o crescimento da geração distribuída por meio de sistemas fotovoltaicos._x000a__x000a_A Energisa explicou que o aumento expressivo das instalações de energia solar tem provocado novos desafios operacionais em todo o Estado, exigindo elevados investimentos em ampliação e modernização do sistema elétrico. Informou ainda que o plano de investimentos da concessionária contempla aproximadamente R$ 1 bilhão em obras para reforço da rede elétrica._x000a__x000a_Em relação às unidades públicas, foi discutida a situação da Escola Municipal Napoleão._x000a__x000a_A Prefeitura informou que a unidade apresenta dificuldades para utilização dos aparelhos de ar-condicionado, principalmente após a instalação de um empreendimento comercial nas proximidades._x000a__x000a_Foi esclarecido que a escola possui três unidades consumidoras (três medidores), distribuídas entre os blocos da edificação, e que já havia sido encaminhada solicitação anterior para análise do transformador._x000a__x000a_A Energisa informou que realizará:_x000a__x000a_* verificação da carga cadastrada da unidade;_x000a_* análise dos ofícios anteriormente protocolados;_x000a_* aferição dos níveis de tensão;_x000a_* avaliação da necessidade de medições em campo;_x000a_* estudo sobre eventual redimensionamento da instalação._x000a__x000a_Também foi solicitado que sejam encaminhados novamente os números dos protocolos anteriores e fotografias dos medidores para facilitar a análise._x000a__x000a_Durante a reunião surgiu ainda a possibilidade de ampliar a avaliação para todo o complexo escolar, incluindo a creche localizada na mesma quadra, totalizando quatro unidades consumidoras._x000a__x000a_Ao final, os participantes reforçaram a importância da manutenção da comunicação direta entre Prefeitura e Energisa para solução rápida das demandas técnicas, planejamento das podas, melhorias na qualidade do fornecimento de energia e fortalecimento da parceria institucional._x000a__x000a_Encaminhamentos_x000a__x000a_1. Verificar internamente a situação do Convênio de Poda encaminhado pela Energisa e providenciar sua formalização._x000a_2. A Prefeitura encaminhará programação de podas por meio de ofício ao canal do Poder Público da Energisa._x000a_3. A Energisa realizará análise técnica da Escola Municipal Napoleão, incluindo medição de tensão e avaliação da carga instalada._x000a_4. A Prefeitura enviará novamente os protocolos anteriores e fotografias dos medidores da unidade escolar._x000a_5. Avaliar tecnicamente todo o complexo escolar, incluindo a creche localizada na mesma quadra._x000a_6. Manter comunicação direta entre as equipes técnicas para programação de intervenções na rede elétrica e manejo da arborização urbana._x000a_7. Fortalecer a parceria para substituição gradual de espécies arbóreas inadequadas por espécies compatíveis com a rede elétrica._x000a_E por ultimo ateção na obra 0302600271 - 0302600248, mudança de postes para atender demanda com urgencia 0, recurso parado. 0302500580 e poste com risco de barida pois está no meio da rua."/>
    <d v="2026-07-23T00:00:00"/>
    <s v="Agente Monike, informo que as obras mencionadas já estão cadastradas no APP da Central._x000a_Obra 0302600271 - suspensa em 15/07/2026 necessário aprovação de projeto de travessia de rodovia (AGESUL) - cadastrada através do ID 891._x000a_Obra 0302600248 - orçamento aprovado pelo cliente na data de 15/07/2026. cadastrada através do ID 818._x000a_Obra 0302500580 - cadastrada através do ID 898, ação já direcionada a área responsável para as devidas tratativas."/>
    <d v="2026-08-19T00:00:00"/>
    <m/>
    <m/>
    <m/>
    <d v="2026-08-19T00:00:00"/>
    <s v="Monike Chaves"/>
    <s v="Bruna Santos"/>
    <s v="Prefeito Edinho_x000a_Diretora de Planejamento e Obras Natyla_x000a_Secretario de obras Renato _x000a_Diego Coodenador Energisa_x000a_Monike Agente"/>
    <s v="Diego Souza Silva"/>
    <s v="Sim"/>
    <s v="Visita Domo de Ferro"/>
    <d v="2026-09-03T00:00:00"/>
    <s v="Moacir Costa Neto"/>
    <d v="2026-08-19T00:00:00"/>
    <s v="Bruna Fabiana Braguin dos Santos"/>
    <n v="100"/>
    <n v="100"/>
    <n v="100"/>
    <s v=""/>
    <m/>
    <s v=""/>
    <x v="6"/>
    <n v="61"/>
    <x v="0"/>
    <x v="1"/>
    <x v="0"/>
    <x v="0"/>
    <n v="27"/>
    <x v="1"/>
  </r>
  <r>
    <s v="898"/>
    <s v="Visita Domo de Ferro"/>
    <x v="0"/>
    <x v="0"/>
    <d v="2026-07-22T00:00:00"/>
    <s v="Monike Chaves"/>
    <s v="Finalizada"/>
    <x v="1"/>
    <s v=""/>
    <s v=""/>
    <s v="0302500580"/>
    <x v="0"/>
    <x v="25"/>
    <x v="0"/>
    <s v="Angélica"/>
    <s v="ATA DE REUNIÃO_x000a__x000a_Data: 23/07 2026_x000a_Local: Prefeitura Municipal de Angélica – MS_x000a_Participantes: Representantes da Prefeitura Municipal de Angélica, Energisa MS, Secretários Municipais._x000a__x000a_Pauta_x000a__x000a_* Fortalecimento da parceria entre Prefeitura e Energisa._x000a_* Manejo da arborização urbana e convênio de poda._x000a_* Programação de desligamentos e intervenções na rede elétrica._x000a_* Demandas relacionadas à qualidade do fornecimento de energia._x000a_* Sobrecarga da rede elétrica e aumento de carga._x000a_* Acompanhamento de solicitações técnicas em unidades públicas._x000a__x000a_Desenvolvimento da reunião_x000a__x000a_A reunião teve como objetivo alinhar o relacionamento entre a Prefeitura de Angélica e a Energisa, fortalecendo a comunicação entre as equipes técnicas e operacionais para agilizar o atendimento das demandas do município._x000a__x000a_Inicialmente, foi apresentada a estrutura operacional da Energisa responsável pela região sul do Estado, destacando o atendimento realizado pelas equipes locais, pelo supervisor regional e pelo técnico responsável pela área, bem como os canais de atendimento disponíveis para o município._x000a__x000a_O prefeito ressaltou que um dos principais desafios enfrentados atualmente é a arborização urbana. Foi informado que diversas árvores foram plantadas em gestões anteriores sem planejamento adequado, estando hoje em conflito com a rede elétrica, o que ocasiona interrupções no fornecimento de energia, riscos operacionais e aumento dos custos de manutenção._x000a__x000a_Também foi relatada a dificuldade em programar desligamentos da rede para execução das podas, reforçando a necessidade de maior integração entre Prefeitura e Energisa para planejamento conjunto das intervenções._x000a__x000a_A Energisa esclareceu que, atualmente, os desligamentos programados são bastante restritos em razão das exigências regulatórias da ANEEL, motivo pelo qual a concessionária prioriza, sempre que possível, a utilização de equipes de Linha Viva para realização dos serviços com a rede energizada._x000a__x000a_Como alternativa, foi sugerido que a Prefeitura encaminhe, com antecedência, sua programação semanal ou pontual de podas por meio de ofício direcionado ao canal de atendimento do Poder Público. Dessa forma, a concessionária poderá avaliar cada situação e compatibilizar o cronograma das equipes._x000a__x000a_Durante a reunião foi destacado que o município possui interesse em manter uma parceria permanente com a Energisa para que as equipes possam atuar de forma coordenada, evitando riscos, reduzindo impactos à população e garantindo maior eficiência nas ações._x000a__x000a_Na sequência, foi discutido o Convênio de Poda encaminhado anteriormente pela Energisa ao município. Ficou registrado que o documento foi enviado à Secretaria Municipal de Meio Ambiente e será verificada sua tramitação para assinatura._x000a__x000a_Foi reforçado que o convênio prevê:_x000a__x000a_* atuação da Energisa nas podas emergenciais e nas intervenções em vegetação que oferece risco à rede elétrica;_x000a_* apoio da Prefeitura na retirada e destinação dos resíduos vegetais;_x000a_* maior agilidade nas autorizações necessárias;_x000a_* segurança jurídica para execução dos serviços;_x000a_* possibilidade de atendimento de árvores em situação crítica mediante solicitação formal do município._x000a__x000a_O prefeito destacou que o convênio auxiliará o município perante os órgãos de fiscalização e controle, além de facilitar o planejamento das futuras intervenções._x000a__x000a_Também foi apresentada pela Energisa a possibilidade de utilização do viveiro de mudas da concessionária para doação de espécies adequadas ao plantio urbano, incentivando a substituição gradual das árvores incompatíveis com a rede elétrica por espécies apropriadas._x000a__x000a_Na sequência, foram discutidas ocorrências relacionadas ao fornecimento de energia elétrica._x000a__x000a_Foi citado como exemplo positivo um problema recorrente em determinado setor da cidade que foi solucionado após a retirada de uma árvore em conflito com a rede elétrica, eliminando as interrupções registradas anteriormente._x000a__x000a_O prefeito também relatou ocorrências de oscilações de tensão em alguns bairros e destacou a necessidade de análise técnica sempre que identificadas situações semelhantes._x000a__x000a_A Energisa explicou que diversos casos decorrem do aumento de carga das unidades consumidoras, quando os clientes ampliam suas instalações elétricas sem comunicar previamente a distribuidora. Nesses casos, é necessária a solicitação formal para análise e eventual redimensionamento da carga._x000a__x000a_Outro tema abordado foi o crescimento da geração distribuída por meio de sistemas fotovoltaicos._x000a__x000a_A Energisa explicou que o aumento expressivo das instalações de energia solar tem provocado novos desafios operacionais em todo o Estado, exigindo elevados investimentos em ampliação e modernização do sistema elétrico. Informou ainda que o plano de investimentos da concessionária contempla aproximadamente R$ 1 bilhão em obras para reforço da rede elétrica._x000a__x000a_Em relação às unidades públicas, foi discutida a situação da Escola Municipal Napoleão._x000a__x000a_A Prefeitura informou que a unidade apresenta dificuldades para utilização dos aparelhos de ar-condicionado, principalmente após a instalação de um empreendimento comercial nas proximidades._x000a__x000a_Foi esclarecido que a escola possui três unidades consumidoras (três medidores), distribuídas entre os blocos da edificação, e que já havia sido encaminhada solicitação anterior para análise do transformador._x000a__x000a_A Energisa informou que realizará:_x000a__x000a_* verificação da carga cadastrada da unidade;_x000a_* análise dos ofícios anteriormente protocolados;_x000a_* aferição dos níveis de tensão;_x000a_* avaliação da necessidade de medições em campo;_x000a_* estudo sobre eventual redimensionamento da instalação._x000a__x000a_Também foi solicitado que sejam encaminhados novamente os números dos protocolos anteriores e fotografias dos medidores para facilitar a análise._x000a__x000a_Durante a reunião surgiu ainda a possibilidade de ampliar a avaliação para todo o complexo escolar, incluindo a creche localizada na mesma quadra, totalizando quatro unidades consumidoras._x000a__x000a_Ao final, os participantes reforçaram a importância da manutenção da comunicação direta entre Prefeitura e Energisa para solução rápida das demandas técnicas, planejamento das podas, melhorias na qualidade do fornecimento de energia e fortalecimento da parceria institucional._x000a__x000a_Encaminhamentos_x000a__x000a_1. Verificar internamente a situação do Convênio de Poda encaminhado pela Energisa e providenciar sua formalização._x000a_2. A Prefeitura encaminhará programação de podas por meio de ofício ao canal do Poder Público da Energisa._x000a_3. A Energisa realizará análise técnica da Escola Municipal Napoleão, incluindo medição de tensão e avaliação da carga instalada._x000a_4. A Prefeitura enviará novamente os protocolos anteriores e fotografias dos medidores da unidade escolar._x000a_5. Avaliar tecnicamente todo o complexo escolar, incluindo a creche localizada na mesma quadra._x000a_6. Manter comunicação direta entre as equipes técnicas para programação de intervenções na rede elétrica e manejo da arborização urbana._x000a_7. Fortalecer a parceria para substituição gradual de espécies arbóreas inadequadas por espécies compatíveis com a rede elétrica._x000a_E por ultimo ateção na obra 0302600271 - 0302600248, mudança de postes para atender demanda com urgencia 0, recurso parado. 0302500580 e poste com risco de barida pois está no meio da rua."/>
    <d v="2026-07-23T00:00:00"/>
    <s v="Por favor verificar possibilidade de agilizar atendimento da Obra 0302500580 - Deslocamento de Poste."/>
    <d v="2026-09-04T00:00:00"/>
    <s v="&quot;No dia 31/08, não foi possível realizar a execução, pois não conseguimos contato com o COI. O local estava sem sinal de rádio e de celular, impossibilitando a comunicação necessária para continuidade da atividade._x000a_A obra foi reprogramada para o dia 29/09.&quot; respondido no ID 938"/>
    <d v="2026-11-30T00:00:00"/>
    <m/>
    <m/>
    <s v="Amanda Aparecida Teixeira dos Santos"/>
    <s v="Amanda Santos"/>
    <s v="Prefeito Edinho_x000a_Diretora de Planejamento e Obras Natyla_x000a_Secretario de obras Renato _x000a_Diego Coodenador Energisa_x000a_Monike Agente"/>
    <s v="Diego Souza Silva"/>
    <s v="Sim"/>
    <s v="Visita Domo de Ferro"/>
    <d v="2026-09-04T00:00:00"/>
    <s v="Amanda Aparecida Teixeira dos Santos"/>
    <d v="2026-09-04T00:00:00"/>
    <s v="Amanda Aparecida Teixeira dos Santos"/>
    <n v="100"/>
    <n v="100"/>
    <n v="100"/>
    <s v=""/>
    <m/>
    <s v=""/>
    <x v="6"/>
    <n v="61"/>
    <x v="0"/>
    <x v="1"/>
    <x v="1"/>
    <x v="0"/>
    <n v="43"/>
    <x v="0"/>
  </r>
  <r>
    <s v="906"/>
    <s v="Visita Domo de Ferro"/>
    <x v="0"/>
    <x v="0"/>
    <d v="2026-07-24T00:00:00"/>
    <s v="Monike Chaves"/>
    <s v="Finalizada"/>
    <x v="1"/>
    <s v=""/>
    <s v=""/>
    <s v="0202601007"/>
    <x v="0"/>
    <x v="26"/>
    <x v="5"/>
    <s v="Fátima do Sul"/>
    <s v="Solicito por favor inserir este caso para acompanhamento na central, esse cliente teve sua jornada de ligação nova iniciada em 28/04, porém teve sua ordem de serviço transitando entre a baixa de campo e a baixa de projeto sem avanço das etapas necessárias para início da obra, apenas em 10/06 (43 dias após o pedido) seu processo seguiu o trâmite correto, sendo gerado obra para atendimento. _x000a__x000a_Gentileza verificar a possibilidade de executarmos em caráter emergencial._x000a__x000a_CLIENTE ATENDIDO MEDIDOR INSTALADO N6283376261"/>
    <d v="2026-07-27T00:00:00"/>
    <s v="0202601007"/>
    <d v="2026-08-21T00:00:00"/>
    <m/>
    <d v="2026-08-31T00:00:00"/>
    <d v="2026-08-05T00:00:00"/>
    <d v="2026-08-10T00:00:00"/>
    <s v="Amanda Aparecida Teixeira dos Santos"/>
    <s v="Rafaela Almeida"/>
    <s v="Diego Souza Silva"/>
    <s v="Diego Souza Silva"/>
    <s v="Sim"/>
    <s v="Visita Domo de Ferro"/>
    <d v="2026-09-03T00:00:00"/>
    <s v="Moacir Costa Neto"/>
    <d v="2026-08-21T00:00:00"/>
    <s v="Rafaela Mattos de Almeida"/>
    <n v="50"/>
    <n v="50"/>
    <n v="50"/>
    <s v=""/>
    <m/>
    <s v=""/>
    <x v="1"/>
    <n v="59"/>
    <x v="0"/>
    <x v="1"/>
    <x v="0"/>
    <x v="0"/>
    <n v="25"/>
    <x v="0"/>
  </r>
  <r>
    <s v="933"/>
    <s v="Visita Domo de Ferro"/>
    <x v="4"/>
    <x v="1"/>
    <d v="2026-07-31T00:00:00"/>
    <s v="Giovani Moura Sousa"/>
    <s v="Finalizada"/>
    <x v="2"/>
    <s v="Assentamento Laga Grande"/>
    <s v=""/>
    <s v=""/>
    <x v="0"/>
    <x v="13"/>
    <x v="2"/>
    <s v="Dourados"/>
    <s v="Solicitado a troca do transformador de 25 kv para um de 45 kv._x000a_Transformador localizado às proximidades das UC's abaixo:_x000a_10/912450-4_x000a_10/904447-0_x000a_1.223.596.051-09"/>
    <d v="2026-08-12T00:00:00"/>
    <s v="Por gentileza elaborar resposta e direcionar à Câmara Municipal de Dourados - Ofício 019/2026, pois a solicitação precisa ser protocolada individualmente pelos interessados."/>
    <m/>
    <m/>
    <m/>
    <m/>
    <m/>
    <s v="CRISLAINE ARRUDA DA SILVA"/>
    <s v=""/>
    <s v="Vereador Rogério"/>
    <s v="Giovani Moura Sousa"/>
    <s v="Sim"/>
    <s v="Visita Domo de Ferro"/>
    <d v="2026-09-03T00:00:00"/>
    <s v="Moacir Costa Neto"/>
    <d v="2026-08-12T00:00:00"/>
    <s v="Wander Idalino Machado"/>
    <n v="25"/>
    <n v="25"/>
    <n v="12.5"/>
    <s v=""/>
    <m/>
    <s v=""/>
    <x v="10"/>
    <n v="52"/>
    <x v="0"/>
    <x v="1"/>
    <x v="0"/>
    <x v="0"/>
    <n v="40"/>
    <x v="8"/>
  </r>
  <r>
    <s v="933"/>
    <s v="Visita Domo de Ferro"/>
    <x v="0"/>
    <x v="0"/>
    <d v="2026-07-31T00:00:00"/>
    <s v="Giovani Moura Sousa"/>
    <s v="Finalizada"/>
    <x v="1"/>
    <s v=""/>
    <s v=""/>
    <s v=""/>
    <x v="0"/>
    <x v="13"/>
    <x v="2"/>
    <s v="Dourados"/>
    <s v="Solicitado a troca do transformador de 25 kv para um de 45 kv._x000a_Transformador localizado às proximidades das UC's abaixo:_x000a_10/912450-4_x000a_10/904447-0_x000a_1.223.596.051-09"/>
    <d v="2026-08-03T00:00:00"/>
    <s v="Solicitado a troca do transformador de 25 kv para um de 45 kv._x000a_Transformador localizado às proximidades das UC's abaixo:_x000a_10/912450-4_x000a_10/904447-0_x000a_1.223.596.051-09"/>
    <d v="2026-08-21T00:00:00"/>
    <m/>
    <d v="2026-08-31T00:00:00"/>
    <m/>
    <d v="2026-08-05T00:00:00"/>
    <s v="Bruno Camargo de Souza"/>
    <s v="Rafaela Almeida"/>
    <s v="Vereador Rogério"/>
    <s v="Giovani Moura Sousa"/>
    <s v="Sim"/>
    <s v="Visita Domo de Ferro"/>
    <d v="2026-09-03T00:00:00"/>
    <s v="Moacir Costa Neto"/>
    <d v="2026-08-21T00:00:00"/>
    <s v="Rafaela Mattos de Almeida"/>
    <n v="25"/>
    <n v="25"/>
    <n v="25"/>
    <s v=""/>
    <m/>
    <s v=""/>
    <x v="10"/>
    <n v="52"/>
    <x v="0"/>
    <x v="1"/>
    <x v="0"/>
    <x v="0"/>
    <n v="18"/>
    <x v="4"/>
  </r>
  <r>
    <s v="938"/>
    <s v="Visita Domo de Ferro"/>
    <x v="0"/>
    <x v="0"/>
    <d v="2026-07-24T00:00:00"/>
    <s v="Monike Chaves"/>
    <s v="Em Andamento"/>
    <x v="0"/>
    <s v=""/>
    <s v=""/>
    <s v="0302500580"/>
    <x v="0"/>
    <x v="25"/>
    <x v="0"/>
    <s v="Angélica"/>
    <s v="Prefeitura solicitou agilidade na realocação de 2 postes em Ipezal. Visita realizada pelo Projeto Integrar - Registro ID 123"/>
    <d v="2026-07-30T00:00:00"/>
    <s v="Prefeitura solicitou agilidade na realocação de 2 postes em Ipezal. Visita realizada pelo Projeto Integrar - Registro ID 123"/>
    <d v="2026-09-04T00:00:00"/>
    <s v="No dia 31/08, não foi possível realizar a execução, pois não conseguimos contato com o COI. O local estava sem sinal de rádio e de celular, impossibilitando a comunicação necessária para continuidade da atividade._x000a_A obra foi reprogramada para o dia 29/09."/>
    <d v="2026-09-30T00:00:00"/>
    <d v="2026-09-29T00:00:00"/>
    <m/>
    <s v="Amanda Aparecida Teixeira dos Santos"/>
    <s v="Amanda Santos"/>
    <m/>
    <s v="Diego Souza Silva"/>
    <s v="Sim"/>
    <s v="Visita Domo de Ferro"/>
    <d v="2026-09-04T00:00:00"/>
    <s v="Amanda Aparecida Teixeira dos Santos"/>
    <d v="2026-09-04T00:00:00"/>
    <s v="Amanda Aparecida Teixeira dos Santos"/>
    <n v="100"/>
    <n v="100"/>
    <n v="100"/>
    <s v=""/>
    <m/>
    <s v=""/>
    <x v="6"/>
    <n v="59"/>
    <x v="0"/>
    <x v="1"/>
    <x v="1"/>
    <x v="1"/>
    <n v="36"/>
    <x v="0"/>
  </r>
  <r>
    <s v="942"/>
    <s v="Visita Domo de Ferro"/>
    <x v="5"/>
    <x v="0"/>
    <d v="2026-04-24T00:00:00"/>
    <s v="Availdo Taveira de Oliveira"/>
    <s v="Em Andamento"/>
    <x v="2"/>
    <s v=""/>
    <s v=""/>
    <s v=""/>
    <x v="1"/>
    <x v="27"/>
    <x v="0"/>
    <s v="Corguinho"/>
    <s v="Visita realizada pelo Projeto Integrar - Registro ID 74"/>
    <d v="2026-07-31T00:00:00"/>
    <s v="Podar Árvore em frente a Dona Cândida na comunidade baianopolis, Visita realizada pelo Projeto Integrar - Registro ID 74"/>
    <d v="2026-08-19T00:00:00"/>
    <m/>
    <m/>
    <m/>
    <m/>
    <s v="Evair Rogerio da Conceicao"/>
    <s v="Bruna Santos"/>
    <s v="Fabricio Silva"/>
    <s v="Fabricio Cerchiari da Silva"/>
    <s v="Sim"/>
    <s v="Visita Domo de Ferro"/>
    <d v="2026-09-03T00:00:00"/>
    <s v="Moacir Costa Neto"/>
    <d v="2026-08-19T00:00:00"/>
    <s v="Bruna Fabiana Braguin dos Santos"/>
    <n v="100"/>
    <n v="100"/>
    <n v="100"/>
    <s v=""/>
    <m/>
    <s v=""/>
    <x v="8"/>
    <n v="150"/>
    <x v="0"/>
    <x v="1"/>
    <x v="0"/>
    <x v="1"/>
    <n v="19"/>
    <x v="3"/>
  </r>
  <r>
    <s v="943"/>
    <s v="Visita Domo de Ferro"/>
    <x v="1"/>
    <x v="1"/>
    <d v="2026-04-05T00:00:00"/>
    <s v="Monike Chaves"/>
    <s v="Finalizada"/>
    <x v="1"/>
    <s v=""/>
    <s v=""/>
    <s v=""/>
    <x v="0"/>
    <x v="28"/>
    <x v="0"/>
    <s v="Batayporã"/>
    <s v="Visita realizada pelo Projeto Integrar - Registro ID 44_x000a_1- Prefeito citou que a cidade está com obras de loteamentos particulares, ainda em fase de canteiro. Acompanhar essas solicitações pela central do cliente, coletando expectativa futura de prazo com a Prefeitura._x000a_2- Sobre a carreta &quot;Nossa Energia&quot; da Eficiência Energética. Prefeito demonstrou interesse, solicitei para que ela sugerisse uma data para a realização de uma ação na cidade. (26, 27 e 28 de Junho é a Festa do Sereno, maior evento da cidade)._x000a_3- Sobre a poda na cidade e o possível apoio na recolha de galhos, o Prefeito citou que Julho é o melhor mês. Pedu para evitar podar em Junho em razão da festa do sereno, e que as equipes da Prefeitura estarão todas ocupadas._x000a_4- Citaram alguns problemas de interrupção na UC da MS Pantanal (Tratamento de água e esgoto). Talvez seja sobrecarga e necessidade de revisão da declaração. A unidade fica próxima do cemitério. Realizar diagnóstico."/>
    <d v="2026-08-03T00:00:00"/>
    <s v="FAVOR REALIZAR AS ANALISES DAS DEMANDAS DO PROJETO INTEGRAR OS QUATROS PONTOS E NOS RESPALDAR AS ATUALIZAÇÕES ."/>
    <d v="2026-08-13T00:00:00"/>
    <s v="GESTORA MONIKE REALIZOU TODAS AS TRATATIVAS"/>
    <d v="2026-08-14T00:00:00"/>
    <m/>
    <d v="2026-08-13T00:00:00"/>
    <s v="Monike Chaves"/>
    <s v="Bruna Santos"/>
    <s v="GERMINO ROZ - PREFEITO_x000a_DIAN_x000a_DIEGO SOUZA"/>
    <s v="Diego Souza Silva"/>
    <s v="Sim"/>
    <s v="Visita Domo de Ferro"/>
    <d v="2026-09-03T00:00:00"/>
    <s v="Moacir Costa Neto"/>
    <d v="2026-08-13T00:00:00"/>
    <s v="Bruna Fabiana Braguin dos Santos"/>
    <n v="100"/>
    <n v="100"/>
    <n v="75"/>
    <s v=""/>
    <m/>
    <s v=""/>
    <x v="6"/>
    <n v="169"/>
    <x v="0"/>
    <x v="1"/>
    <x v="0"/>
    <x v="1"/>
    <n v="10"/>
    <x v="1"/>
  </r>
  <r>
    <s v="944"/>
    <s v="Visita Domo de Ferro"/>
    <x v="1"/>
    <x v="1"/>
    <d v="2026-04-28T00:00:00"/>
    <s v="Availdo Taveira de Oliveira"/>
    <s v="Finalizada"/>
    <x v="1"/>
    <s v=""/>
    <s v=""/>
    <s v=""/>
    <x v="2"/>
    <x v="4"/>
    <x v="0"/>
    <s v="Corumbá"/>
    <s v="Visita realizada pelo Projeto Integrar - Registro ID 52_x000a__x000a_1- Execução de 4 obras em atraso a pedido da prefeitura de Ladario._x000a_2- Apoio na poda de 5 Sete Copas na cidade de Ládario._x000a_3- Solicitação de totem para atendimento na prefeitura de Ládario."/>
    <d v="2026-08-03T00:00:00"/>
    <s v="FAVOR ANALISAR AS DEMANDAS DO PROJETO INTEGRAR E NOS DAR RESPALDOS E ATUALIZAÇÕES E ENCAMINHAR SE NECESSARIO COM AÇÕES PARA OS DEPARTAMENTOS RESPONSAVEIS."/>
    <d v="2026-09-08T00:00:00"/>
    <m/>
    <d v="2026-08-14T00:00:00"/>
    <m/>
    <d v="2026-08-28T00:00:00"/>
    <s v="Availdo Taveira de Oliveira"/>
    <s v="Aline Mesquita"/>
    <s v="HELDER BARBOSA"/>
    <s v="Helder Barbosa Diniz"/>
    <s v="Sim"/>
    <s v="Visita Domo de Ferro"/>
    <d v="2026-09-08T00:00:00"/>
    <s v="Aline da Silva Mesquita"/>
    <d v="2026-09-08T00:00:00"/>
    <s v="Aline da Silva Mesquita"/>
    <n v="100"/>
    <n v="100"/>
    <n v="100"/>
    <s v=""/>
    <m/>
    <s v=""/>
    <x v="3"/>
    <n v="146"/>
    <x v="0"/>
    <x v="0"/>
    <x v="0"/>
    <x v="1"/>
    <n v="36"/>
    <x v="1"/>
  </r>
  <r>
    <s v="945"/>
    <s v="Visita Domo de Ferro"/>
    <x v="1"/>
    <x v="1"/>
    <d v="2026-04-29T00:00:00"/>
    <s v="Availdo Taveira de Oliveira"/>
    <s v="Finalizada"/>
    <x v="3"/>
    <s v=""/>
    <s v=""/>
    <s v=""/>
    <x v="2"/>
    <x v="29"/>
    <x v="0"/>
    <s v="Dois Irmãos do Buriti"/>
    <s v="Visita realizada pelo Projeto Integrar - Registro ID 50_x000a__x000a_1- Validar e responder ao prefeito como e em qual rede será conectada as GDs do Polo industrial._x000a_2- Industria no Polo Industrial que querem migrar da Coeso para EMS - Frigorifico, Peixe, mandioca e Laranja;"/>
    <d v="2026-08-03T00:00:00"/>
    <s v="FAVOR ANALISAR AS DEMANDAS DO PROJETO INTEGRAR E NOS DAR RESPALDOS E ATUALIZAÇÕES E ENCAMINHAR SE NECESSARIO COM AÇÕES PARA OS DEPARTAMENTOS RESPONSAVEIS."/>
    <d v="2026-08-03T00:00:00"/>
    <s v="Segue resumo em foto anexo. As demandas estão registradas no APP."/>
    <d v="2026-08-14T00:00:00"/>
    <m/>
    <d v="2026-08-03T00:00:00"/>
    <s v="Availdo Taveira de Oliveira"/>
    <s v="Anderson Smaniotto"/>
    <m/>
    <s v="Anderson Brum Smaniotto"/>
    <s v="Sim"/>
    <s v="Visita Domo de Ferro"/>
    <d v="2026-09-03T00:00:00"/>
    <s v="Moacir Costa Neto"/>
    <d v="2026-08-03T00:00:00"/>
    <s v="Anderson Brum Smaniotto"/>
    <n v="100"/>
    <n v="100"/>
    <n v="75"/>
    <s v=""/>
    <m/>
    <s v=""/>
    <x v="7"/>
    <n v="145"/>
    <x v="0"/>
    <x v="1"/>
    <x v="0"/>
    <x v="1"/>
    <n v="0"/>
    <x v="1"/>
  </r>
  <r>
    <s v="945"/>
    <s v="Visita Domo de Ferro"/>
    <x v="4"/>
    <x v="1"/>
    <d v="2026-04-29T00:00:00"/>
    <s v="Availdo Taveira de Oliveira"/>
    <s v="Finalizada"/>
    <x v="1"/>
    <s v=""/>
    <s v=""/>
    <s v=""/>
    <x v="2"/>
    <x v="29"/>
    <x v="0"/>
    <s v="Dois Irmãos do Buriti"/>
    <s v="Visita realizada pelo Projeto Integrar - Registro ID 50_x000a__x000a_1- Validar e responder ao prefeito como e em qual rede será conectada as GDs do Polo industrial._x000a_2- Industria no Polo Industrial que querem migrar da Coeso para EMS - Frigorifico, Peixe, mandioca e Laranja;"/>
    <d v="2026-08-11T00:00:00"/>
    <s v="Ação gerada e direcionada ao DESC (Availdo) para as devidas tratativas. Por favor, disponibilizar as informações a seguir para que possamos gerar as ações e direcionar aos responsáveis para as devidas tratativas. Projeto Integrar - ID 50. _x000a_1. Validar e responder ao prefeito como e em qual rede será conectada as GDs do Polo Industrial, para direcionamento gentileza informar o nº da(s) unidade(s) conssumidora(s) ou o nº do(s) projeto(s) elétrico(s). _x000a_2. Indústria no Polo Industrial que querem migrar da Coeso para a EMS - (Frigorífico, Peixe, Mandioca e Laranja), para os devidos direcionamentos informar o nº da(s) unidade(s) consumidora(s)."/>
    <d v="2026-08-13T00:00:00"/>
    <s v="SEM INFORMAÇÕES SUFICIENTES PARA ANALISE"/>
    <m/>
    <m/>
    <d v="2026-08-13T00:00:00"/>
    <s v="Availdo Taveira de Oliveira"/>
    <s v="Bruna Santos"/>
    <m/>
    <s v="Anderson Brum Smaniotto"/>
    <s v="Sim"/>
    <s v="Visita Domo de Ferro"/>
    <d v="2026-09-03T00:00:00"/>
    <s v="Moacir Costa Neto"/>
    <d v="2026-08-13T00:00:00"/>
    <s v="Bruna Fabiana Braguin dos Santos"/>
    <n v="100"/>
    <n v="100"/>
    <n v="75"/>
    <s v=""/>
    <m/>
    <s v=""/>
    <x v="7"/>
    <n v="145"/>
    <x v="0"/>
    <x v="1"/>
    <x v="0"/>
    <x v="1"/>
    <n v="2"/>
    <x v="1"/>
  </r>
  <r>
    <s v="946"/>
    <s v="Visita Domo de Ferro"/>
    <x v="1"/>
    <x v="1"/>
    <d v="2026-06-09T00:00:00"/>
    <s v="Availdo Taveira de Oliveira"/>
    <s v="Finalizada"/>
    <x v="1"/>
    <s v=""/>
    <s v=""/>
    <s v=""/>
    <x v="1"/>
    <x v="30"/>
    <x v="0"/>
    <s v="Paranaíba"/>
    <s v="Visita realizada pelo Projeto Integrar - Registro ID 87_x000a_1- Questionou que quando de uma obra estão trocando os postes e levando os braços da luminária._x000a__x000a_2- Solicitou para ver a possibilidade de ligar os padrões que foram desmembrados das lojas anexa ao terminal rodoviário, foi orientado a solicitar uma OS de padronização."/>
    <d v="2026-08-03T00:00:00"/>
    <s v="FAVOR ANALISAR AS DEMANDAS DO PROJETO INTEGRAR E NOS DAR RESPALDOS E ATUALIZAÇÕES E ENCAMINHAR SE NECESSARIO COM AÇÕES PARA OS DEPARTAMENTOS RESPONSAVEIS."/>
    <d v="2026-08-19T00:00:00"/>
    <m/>
    <d v="2026-08-14T00:00:00"/>
    <m/>
    <d v="2026-08-19T00:00:00"/>
    <s v="Availdo Taveira de Oliveira"/>
    <s v="Bruna Santos"/>
    <m/>
    <s v=""/>
    <s v="Sim"/>
    <s v="Visita Domo de Ferro"/>
    <d v="2026-09-03T00:00:00"/>
    <s v="Moacir Costa Neto"/>
    <d v="2026-08-19T00:00:00"/>
    <s v="Bruna Fabiana Braguin dos Santos"/>
    <n v="100"/>
    <n v="100"/>
    <n v="100"/>
    <s v=""/>
    <m/>
    <s v=""/>
    <x v="11"/>
    <n v="104"/>
    <x v="0"/>
    <x v="0"/>
    <x v="0"/>
    <x v="1"/>
    <n v="16"/>
    <x v="1"/>
  </r>
  <r>
    <s v="947"/>
    <s v="Visita Domo de Ferro"/>
    <x v="1"/>
    <x v="1"/>
    <d v="2026-04-14T00:00:00"/>
    <s v="Monike Chaves"/>
    <s v="Finalizada"/>
    <x v="1"/>
    <s v=""/>
    <s v=""/>
    <s v=""/>
    <x v="3"/>
    <x v="13"/>
    <x v="0"/>
    <s v=""/>
    <s v="Visita realizada pelo Projeto Integrar - Registro ID 45_x000a__x000a_1- Prefeito citou que estão com projetos em andamento de loteamentos sociais pela cidade, e que provavelmente irá solicitar uma carta de viabilidade em breve. Um com 72 lotes e outro com 20 lotes. Inserir para acompanhamento na central do cliente._x000a_2- Prefeito citou região da AGROFAP, que o local estava com faltas de energia constantes, porém já foi resolvido após a retirada de um trecho de bambus pela Energisa. Informou sobre o Ass. Bela Manhã, que está com faltas constantes de energia. Inspecionar._x000a_3- &quot;Realocação de rede na entrada da cidade para a construção de um portal na entrada da cidade. Ação interna: Inserir essa obra na Central do Cliente._x000a_0302600023 - Liberada em 27/02/2026&quot;"/>
    <d v="2026-08-03T00:00:00"/>
    <s v="FAVOR ANALISAR AS DEMANDAS DO PROJETO INTEGRAR E NOS DAR RESPALDOS E ATUALIZAÇÕES E ENCAMINHAR SE NECESSARIO COM AÇÕES PARA OS DEPARTAMENTOS RESPONSAVEIS."/>
    <d v="2026-08-13T00:00:00"/>
    <s v="EM CONTATO COM A GESTORA MONIKE TODAS AS DEMANDAS FORAM TRATADAS"/>
    <d v="2026-08-14T00:00:00"/>
    <m/>
    <d v="2026-08-13T00:00:00"/>
    <s v="Availdo Taveira de Oliveira"/>
    <s v="Bruna Santos"/>
    <m/>
    <s v="Diego Souza Silva"/>
    <s v="Sim"/>
    <s v="Visita Domo de Ferro"/>
    <d v="2026-09-03T00:00:00"/>
    <s v="Moacir Costa Neto"/>
    <d v="2026-08-13T00:00:00"/>
    <s v="Bruna Fabiana Braguin dos Santos"/>
    <n v="100"/>
    <n v="100"/>
    <n v="75"/>
    <s v=""/>
    <m/>
    <s v=""/>
    <x v="10"/>
    <n v="160"/>
    <x v="0"/>
    <x v="1"/>
    <x v="0"/>
    <x v="1"/>
    <n v="10"/>
    <x v="1"/>
  </r>
  <r>
    <s v="948"/>
    <s v="Visita Domo de Ferro"/>
    <x v="1"/>
    <x v="1"/>
    <d v="2026-04-24T00:00:00"/>
    <s v="Availdo Taveira de Oliveira"/>
    <s v="Finalizada"/>
    <x v="1"/>
    <s v=""/>
    <s v=""/>
    <s v=""/>
    <x v="1"/>
    <x v="31"/>
    <x v="0"/>
    <s v="Terenos"/>
    <s v="Visita realizada pelo Projeto Integrar - Registro ID 73_x000a_Individualizar a medição da praça de eventos ._x000a__x000a_Central do Cliente (12/08/2026): Projeto Integrar. Informação, não foram anexados documentos e/ou informado nº de unidade consumidora, OS ou demais dados do(s) cliente(s) para abertura de ações."/>
    <d v="2026-08-03T00:00:00"/>
    <s v="FAVOR ANALISAR AS DEMANDAS DO PROJETO INTEGRAR E NOS DAR RESPALDOS E ATUALIZAÇÕES E ENCAMINHAR SE NECESSARIO COM AÇÕES PARA OS DEPARTAMENTOS RESPONSAVEIS."/>
    <d v="2026-08-12T00:00:00"/>
    <s v="Projeto Integrar. Informação, não foram anexados documentos e/ou informado nº de unidade consumidora, OS ou demais dados do(s) cliente(s) para abertura de ações."/>
    <d v="2026-08-14T00:00:00"/>
    <m/>
    <d v="2026-08-12T00:00:00"/>
    <s v="Availdo Taveira de Oliveira"/>
    <s v="Wander Machado"/>
    <m/>
    <s v="Fabricio Cerchiari da Silva"/>
    <s v="Sim"/>
    <s v="Visita Domo de Ferro"/>
    <d v="2026-09-03T00:00:00"/>
    <s v="Moacir Costa Neto"/>
    <d v="2026-08-12T00:00:00"/>
    <s v="Wander Idalino Machado"/>
    <n v="100"/>
    <n v="100"/>
    <n v="75"/>
    <s v=""/>
    <m/>
    <s v=""/>
    <x v="8"/>
    <n v="150"/>
    <x v="0"/>
    <x v="1"/>
    <x v="0"/>
    <x v="1"/>
    <n v="9"/>
    <x v="1"/>
  </r>
  <r>
    <s v="960"/>
    <s v="Visita Domo de Ferro"/>
    <x v="4"/>
    <x v="3"/>
    <d v="2026-08-04T00:00:00"/>
    <s v="Giovani Moura Sousa"/>
    <s v="Finalizada"/>
    <x v="1"/>
    <s v=""/>
    <s v=""/>
    <s v=""/>
    <x v="1"/>
    <x v="7"/>
    <x v="2"/>
    <s v="Campo Grande"/>
    <s v="Solicitado manutenção do veto à emenda do Vereador Roilço sobre fios de internet._x000a_Informação."/>
    <d v="2026-08-05T00:00:00"/>
    <s v="Informação. Solicitado manutenção do veto à emenda do Vereador Roilço sobre fios de internet."/>
    <d v="2026-08-11T00:00:00"/>
    <m/>
    <d v="2026-08-05T00:00:00"/>
    <m/>
    <d v="2026-08-05T00:00:00"/>
    <s v="Wander Idalino Machado"/>
    <s v="Wander Machado"/>
    <s v="Vereador Rrafael Tavares"/>
    <s v="Giovani Moura Sousa"/>
    <s v="Sim"/>
    <s v="Visita Domo de Ferro"/>
    <d v="2026-09-03T00:00:00"/>
    <s v="Moacir Costa Neto"/>
    <d v="2026-08-11T00:00:00"/>
    <s v="Wander Idalino Machado"/>
    <n v="25"/>
    <n v="25"/>
    <n v="25"/>
    <s v=""/>
    <m/>
    <s v=""/>
    <x v="5"/>
    <n v="48"/>
    <x v="0"/>
    <x v="1"/>
    <x v="0"/>
    <x v="0"/>
    <n v="6"/>
    <x v="5"/>
  </r>
  <r>
    <s v="961"/>
    <s v="Visita Domo de Ferro"/>
    <x v="4"/>
    <x v="3"/>
    <d v="2026-08-04T00:00:00"/>
    <s v="Giovani Moura Sousa"/>
    <s v="Finalizada"/>
    <x v="1"/>
    <s v=""/>
    <s v=""/>
    <s v=""/>
    <x v="1"/>
    <x v="7"/>
    <x v="2"/>
    <s v="Campo Grande"/>
    <s v="Solicitado a manutenção do veto à emenda do Vereador Ronilço quanto aos fios de internet._x000a_Informação."/>
    <d v="2026-08-05T00:00:00"/>
    <s v="Informação. Solicitado a manutenção do veto à emenda do Vereador Ronilço quanto aos fios de internet."/>
    <d v="2026-08-05T00:00:00"/>
    <s v="Solicitado a manutenção do veto à emenda do Vereador Ronilço quanto aos fios de internet."/>
    <m/>
    <m/>
    <d v="2026-08-05T00:00:00"/>
    <s v="Wander Idalino Machado"/>
    <s v="Wander Machado"/>
    <s v="Vereador André salineiro"/>
    <s v=""/>
    <s v="Sim"/>
    <s v="Visita Domo de Ferro"/>
    <d v="2026-09-03T00:00:00"/>
    <s v="Moacir Costa Neto"/>
    <d v="2026-08-05T00:00:00"/>
    <s v="Wander Idalino Machado"/>
    <n v="25"/>
    <n v="25"/>
    <n v="25"/>
    <s v=""/>
    <m/>
    <s v=""/>
    <x v="5"/>
    <n v="48"/>
    <x v="0"/>
    <x v="1"/>
    <x v="0"/>
    <x v="0"/>
    <n v="0"/>
    <x v="5"/>
  </r>
  <r>
    <s v="962"/>
    <s v="Visita Domo de Ferro"/>
    <x v="4"/>
    <x v="3"/>
    <d v="2026-08-04T00:00:00"/>
    <s v="Giovani Moura Sousa"/>
    <s v="Finalizada"/>
    <x v="1"/>
    <s v=""/>
    <s v=""/>
    <s v=""/>
    <x v="1"/>
    <x v="7"/>
    <x v="2"/>
    <s v="Campo Grande"/>
    <s v="Slicitado a manutenção do veto contra a emenda do Vereador Ronilço quanto aos fios de internet._x000a_Informação."/>
    <d v="2026-08-05T00:00:00"/>
    <s v="Informação. Solicitado a manutenção do veto contra a emenda do Vereador Ronilço quanto aos fios de internet."/>
    <d v="2026-08-11T00:00:00"/>
    <m/>
    <d v="2026-08-05T00:00:00"/>
    <m/>
    <d v="2026-08-05T00:00:00"/>
    <s v="Wander Idalino Machado"/>
    <s v="Wander Machado"/>
    <s v="Vreador Juari"/>
    <s v="Giovani Moura Sousa"/>
    <s v="Sim"/>
    <s v="Visita Domo de Ferro"/>
    <d v="2026-09-03T00:00:00"/>
    <s v="Moacir Costa Neto"/>
    <d v="2026-08-11T00:00:00"/>
    <s v="Wander Idalino Machado"/>
    <n v="25"/>
    <n v="25"/>
    <n v="25"/>
    <s v=""/>
    <m/>
    <s v=""/>
    <x v="5"/>
    <n v="48"/>
    <x v="0"/>
    <x v="1"/>
    <x v="0"/>
    <x v="0"/>
    <n v="6"/>
    <x v="5"/>
  </r>
  <r>
    <s v="962"/>
    <s v="Visita Domo de Ferro"/>
    <x v="4"/>
    <x v="4"/>
    <d v="2026-08-04T00:00:00"/>
    <s v="Giovani Moura Sousa"/>
    <s v="Finalizada"/>
    <x v="1"/>
    <s v=""/>
    <s v=""/>
    <s v=""/>
    <x v="1"/>
    <x v="7"/>
    <x v="2"/>
    <s v="Campo Grande"/>
    <s v="Slicitado a manutenção do veto contra a emenda do Vereador Ronilço quanto aos fios de internet._x000a_Informação."/>
    <d v="2026-08-05T00:00:00"/>
    <s v="Informação. Solicitado a manutenção do veto contra a emenda do Vereador Ronilço quanto aos fios de internet."/>
    <d v="2026-08-11T00:00:00"/>
    <m/>
    <d v="2026-08-05T00:00:00"/>
    <m/>
    <d v="2026-08-05T00:00:00"/>
    <s v="Wander Idalino Machado"/>
    <s v="Wander Machado"/>
    <s v="Vreador Juari"/>
    <s v="Giovani Moura Sousa"/>
    <s v="Sim"/>
    <s v="Visita Domo de Ferro"/>
    <d v="2026-09-03T00:00:00"/>
    <s v="Moacir Costa Neto"/>
    <d v="2026-08-11T00:00:00"/>
    <s v="Wander Idalino Machado"/>
    <n v="25"/>
    <n v="25"/>
    <n v="25"/>
    <s v=""/>
    <m/>
    <s v=""/>
    <x v="5"/>
    <n v="48"/>
    <x v="0"/>
    <x v="1"/>
    <x v="0"/>
    <x v="0"/>
    <n v="6"/>
    <x v="5"/>
  </r>
  <r>
    <s v="962"/>
    <s v="Visita Domo de Ferro"/>
    <x v="6"/>
    <x v="4"/>
    <d v="2026-08-04T00:00:00"/>
    <s v="Giovani Moura Sousa"/>
    <s v="Finalizada"/>
    <x v="1"/>
    <s v=""/>
    <s v=""/>
    <s v=""/>
    <x v="1"/>
    <x v="7"/>
    <x v="2"/>
    <s v="Campo Grande"/>
    <s v="Slicitado a manutenção do veto contra a emenda do Vereador Ronilço quanto aos fios de internet._x000a_Informação."/>
    <d v="2026-08-05T00:00:00"/>
    <s v="Informação. Solicitado a manutenção do veto contra a emenda do Vereador Ronilço quanto aos fios de internet."/>
    <d v="2026-08-11T00:00:00"/>
    <s v="Informação. Solicitado a manutenção do veto contra a emenda do Vereador Ronilço quanto aos fios de internet."/>
    <m/>
    <m/>
    <m/>
    <s v="Wander Idalino Machado"/>
    <s v="Wander Machado"/>
    <s v="Vreador Juari"/>
    <s v="Giovani Moura Sousa"/>
    <s v="Sim"/>
    <s v="Visita Domo de Ferro"/>
    <d v="2026-09-03T00:00:00"/>
    <s v="Moacir Costa Neto"/>
    <d v="2026-08-11T00:00:00"/>
    <s v="Wander Idalino Machado"/>
    <n v="25"/>
    <n v="25"/>
    <n v="25"/>
    <s v=""/>
    <m/>
    <s v=""/>
    <x v="5"/>
    <n v="48"/>
    <x v="0"/>
    <x v="1"/>
    <x v="0"/>
    <x v="0"/>
    <n v="6"/>
    <x v="5"/>
  </r>
  <r>
    <s v="963"/>
    <s v="Visita Domo de Ferro"/>
    <x v="4"/>
    <x v="3"/>
    <d v="2026-08-04T00:00:00"/>
    <s v="Giovani Moura Sousa"/>
    <s v="Finalizada"/>
    <x v="1"/>
    <s v=""/>
    <s v=""/>
    <s v=""/>
    <x v="1"/>
    <x v="7"/>
    <x v="2"/>
    <s v="Campo Grande"/>
    <s v="Solicitada a manutenção do veto contra emenda do Vereador Ronilço quanto aos fios de internet._x000a_Informação."/>
    <d v="2026-08-05T00:00:00"/>
    <s v="Informação. Solicitada a manutenção do veto contra emenda do Vereador Ronilço quanto aos fios de internet."/>
    <d v="2026-08-05T00:00:00"/>
    <m/>
    <m/>
    <m/>
    <d v="2026-08-05T00:00:00"/>
    <s v="Wander Idalino Machado"/>
    <s v="Wander Machado"/>
    <s v="Vereador Otávio Trad"/>
    <s v="Giovani Moura Sousa"/>
    <s v="Sim"/>
    <s v="Visita Domo de Ferro"/>
    <d v="2026-09-03T00:00:00"/>
    <s v="Moacir Costa Neto"/>
    <d v="2026-08-05T00:00:00"/>
    <s v="Wander Idalino Machado"/>
    <n v="25"/>
    <n v="25"/>
    <n v="25"/>
    <s v=""/>
    <m/>
    <s v=""/>
    <x v="5"/>
    <n v="48"/>
    <x v="0"/>
    <x v="1"/>
    <x v="0"/>
    <x v="0"/>
    <n v="0"/>
    <x v="5"/>
  </r>
  <r>
    <s v="964"/>
    <s v="Visita Domo de Ferro"/>
    <x v="4"/>
    <x v="3"/>
    <d v="2026-08-04T00:00:00"/>
    <s v="Giovani Moura Sousa"/>
    <s v="Finalizada"/>
    <x v="1"/>
    <s v=""/>
    <s v=""/>
    <s v=""/>
    <x v="1"/>
    <x v="7"/>
    <x v="2"/>
    <s v="Campo Grande"/>
    <s v="Solicitado manutenção do vento contra a emenda do Vereador Ronilço quanto aos fios de internet._x000a_Informação."/>
    <d v="2026-08-05T00:00:00"/>
    <s v="Informação. Solicitado manutenção do vento contra a emenda do Vereador Ronilço quanto aos fios de internet"/>
    <d v="2026-08-31T00:00:00"/>
    <m/>
    <d v="2026-09-30T00:00:00"/>
    <m/>
    <d v="2026-08-05T00:00:00"/>
    <s v="Wander Idalino Machado"/>
    <s v="Rafaela Almeida"/>
    <s v="Vereador Wilson Lands"/>
    <s v="Giovani Moura Sousa"/>
    <s v="Sim"/>
    <s v="Visita Domo de Ferro"/>
    <d v="2026-09-03T00:00:00"/>
    <s v="Moacir Costa Neto"/>
    <d v="2026-08-31T00:00:00"/>
    <s v="Rafaela Mattos de Almeida"/>
    <n v="25"/>
    <n v="25"/>
    <n v="25"/>
    <s v=""/>
    <m/>
    <s v=""/>
    <x v="5"/>
    <n v="48"/>
    <x v="0"/>
    <x v="1"/>
    <x v="1"/>
    <x v="0"/>
    <n v="26"/>
    <x v="5"/>
  </r>
  <r>
    <s v="965"/>
    <s v="Visita Domo de Ferro"/>
    <x v="4"/>
    <x v="3"/>
    <d v="2026-08-04T00:00:00"/>
    <s v="Giovani Moura Sousa"/>
    <s v="Finalizada"/>
    <x v="1"/>
    <s v=""/>
    <s v=""/>
    <s v=""/>
    <x v="1"/>
    <x v="7"/>
    <x v="2"/>
    <s v="Campo Grande"/>
    <s v="Solicitada a manutenção do vet contra emenda do Vereador Ronilço quanto aos fios de internet._x000a_Informação."/>
    <d v="2026-08-05T00:00:00"/>
    <s v="Informação. Solicitada a manutenção do veto contra emenda do Vereador Ronilço quanto aos fios de internet."/>
    <d v="2026-08-05T00:00:00"/>
    <m/>
    <m/>
    <m/>
    <d v="2026-08-05T00:00:00"/>
    <s v="Wander Idalino Machado"/>
    <s v="Wander Machado"/>
    <s v="Vereador Papy"/>
    <s v="Giovani Moura Sousa"/>
    <s v="Sim"/>
    <s v="Visita Domo de Ferro"/>
    <d v="2026-09-03T00:00:00"/>
    <s v="Moacir Costa Neto"/>
    <d v="2026-08-05T00:00:00"/>
    <s v="Wander Idalino Machado"/>
    <n v="25"/>
    <n v="25"/>
    <n v="25"/>
    <s v=""/>
    <m/>
    <s v=""/>
    <x v="5"/>
    <n v="48"/>
    <x v="0"/>
    <x v="1"/>
    <x v="0"/>
    <x v="0"/>
    <n v="0"/>
    <x v="5"/>
  </r>
  <r>
    <s v="980"/>
    <s v="Visita Domo de Ferro"/>
    <x v="0"/>
    <x v="0"/>
    <d v="2026-08-07T00:00:00"/>
    <s v="Dian Cleiton de Brito"/>
    <s v="Em Andamento"/>
    <x v="0"/>
    <s v=""/>
    <s v=""/>
    <s v="0102601310"/>
    <x v="1"/>
    <x v="32"/>
    <x v="3"/>
    <s v="Sidrolândia"/>
    <s v="Solicita agilizar execução do Ponto de entrega_x000a__x000a_Expec 21/08/26"/>
    <d v="2026-08-11T00:00:00"/>
    <s v="Solicita agilizar execução do Ponto de entrega_x000a_Expectativa do cliente 21/08/26"/>
    <d v="2026-09-15T00:00:00"/>
    <s v="Reprogramada para 27/09 - devido a contingência"/>
    <d v="2026-08-21T00:00:00"/>
    <d v="2026-09-27T00:00:00"/>
    <m/>
    <s v="Amanda Aparecida Teixeira dos Santos"/>
    <s v="Amanda Santos"/>
    <s v="Gerson Claro_x000a_Paulo Roberto _x000a_William Maksoud"/>
    <s v="Dian Cleiton de Brito"/>
    <s v="Sim"/>
    <s v="Visita Domo de Ferro"/>
    <d v="2026-09-15T00:00:00"/>
    <s v="Amanda Aparecida Teixeira dos Santos"/>
    <d v="2026-09-15T00:00:00"/>
    <s v="Amanda Aparecida Teixeira dos Santos"/>
    <n v="100"/>
    <n v="100"/>
    <n v="100"/>
    <s v=""/>
    <m/>
    <s v=""/>
    <x v="8"/>
    <n v="45"/>
    <x v="0"/>
    <x v="0"/>
    <x v="0"/>
    <x v="0"/>
    <n v="35"/>
    <x v="0"/>
  </r>
  <r>
    <s v="986"/>
    <s v="Visita Domo de Ferro"/>
    <x v="0"/>
    <x v="0"/>
    <d v="2026-08-10T00:00:00"/>
    <s v="Dian Cleiton de Brito"/>
    <s v="Finalizada"/>
    <x v="1"/>
    <s v=""/>
    <s v=""/>
    <s v="0302600292"/>
    <x v="0"/>
    <x v="8"/>
    <x v="3"/>
    <s v="Bataguassu"/>
    <s v="Ligação nova do Poço no Assentamento Sta Paula._x000a__x000a_25/08/26."/>
    <d v="2026-08-11T00:00:00"/>
    <s v="Ligação nova do Poço no Assentamento Sta Paula._x000a_Expectativa do cliente: 25/08/26._x000a_Solicita agilização no atendimento da Obra 0302600292."/>
    <d v="2026-09-02T00:00:00"/>
    <s v="Obra 0302600292 concluída."/>
    <d v="2026-08-25T00:00:00"/>
    <d v="2026-09-10T00:00:00"/>
    <d v="2026-09-02T00:00:00"/>
    <s v="Amanda Aparecida Teixeira dos Santos"/>
    <s v="Wander Machado"/>
    <s v="DEPUTADO CARAVINA"/>
    <s v="Dian Cleiton de Brito"/>
    <s v="Sim"/>
    <s v="Visita Domo de Ferro"/>
    <d v="2026-09-03T00:00:00"/>
    <s v="Moacir Costa Neto"/>
    <d v="2026-09-02T00:00:00"/>
    <s v="Wander Idalino Machado"/>
    <n v="100"/>
    <n v="100"/>
    <n v="100"/>
    <s v=""/>
    <m/>
    <s v=""/>
    <x v="6"/>
    <n v="42"/>
    <x v="0"/>
    <x v="0"/>
    <x v="0"/>
    <x v="0"/>
    <n v="22"/>
    <x v="1"/>
  </r>
  <r>
    <s v="986"/>
    <s v="Visita Domo de Ferro"/>
    <x v="7"/>
    <x v="2"/>
    <d v="2026-08-10T00:00:00"/>
    <s v="Dian Cleiton de Brito"/>
    <s v="Finalizada"/>
    <x v="1"/>
    <s v=""/>
    <s v=""/>
    <s v=""/>
    <x v="0"/>
    <x v="8"/>
    <x v="3"/>
    <s v="Bataguassu"/>
    <s v="Ligação nova do Poço no Assentamento Sta Paula._x000a__x000a_25/08/26."/>
    <d v="2026-09-02T00:00:00"/>
    <s v="Por favor, agilizar atendimentos das ordens de serviço 561015595 (Vistoria) e 561015594 (Ligação Nova). Ligação nova do poço no assentamento Santa Paula."/>
    <d v="2026-09-11T00:00:00"/>
    <s v="Vistoria/Ligação executadas em 02/09/2026, dando origem a unidade consumidora 3893362."/>
    <m/>
    <m/>
    <d v="2026-09-11T00:00:00"/>
    <s v="Matheus Carneiro de Oliveira"/>
    <s v="Wander Machado"/>
    <s v="DEPUTADO CARAVINA"/>
    <s v="Dian Cleiton de Brito"/>
    <s v="Sim"/>
    <s v="Visita Domo de Ferro"/>
    <d v="2026-09-11T00:00:00"/>
    <s v="Wander Idalino Machado"/>
    <d v="2026-09-11T00:00:00"/>
    <s v="Wander Idalino Machado"/>
    <n v="100"/>
    <n v="100"/>
    <n v="100"/>
    <s v=""/>
    <m/>
    <s v=""/>
    <x v="6"/>
    <n v="42"/>
    <x v="0"/>
    <x v="1"/>
    <x v="0"/>
    <x v="0"/>
    <n v="9"/>
    <x v="9"/>
  </r>
  <r>
    <s v="1063"/>
    <s v="Visita Domo de Ferro"/>
    <x v="1"/>
    <x v="1"/>
    <d v="2026-08-24T00:00:00"/>
    <s v="Aline da Silva Mesquita"/>
    <s v="Finalizada"/>
    <x v="3"/>
    <s v=""/>
    <s v=""/>
    <s v="0702600108"/>
    <x v="2"/>
    <x v="12"/>
    <x v="0"/>
    <s v="Coxim"/>
    <s v="Ventura obra do Centro de Convenções 070-26-00108_x000a_Porem segue algumas observações;_x000a_a Obra ainda não esta em execução mesmo ter saído sem custo, provavelmente o que esta pendente é o contrato de demanda com os grandes clientes._x000a_o posto de transformação também esta pendente a solicitação de comissionamento."/>
    <d v="2026-08-24T00:00:00"/>
    <s v="Verificar com o cliente a aprovação do orçamento, para liberação da programação da obra."/>
    <d v="2026-09-10T00:00:00"/>
    <m/>
    <m/>
    <d v="2026-08-27T00:00:00"/>
    <m/>
    <s v="Marcelly Arce Avalo Franca"/>
    <s v="Rafaela Almeida"/>
    <m/>
    <s v="Availdo Taveira de Oliveira"/>
    <s v="Não"/>
    <s v="Prefeitura"/>
    <d v="2026-09-10T00:00:00"/>
    <s v="Rafaela Mattos de Almeida"/>
    <d v="2026-09-10T00:00:00"/>
    <s v="Rafaela Mattos de Almeida"/>
    <n v="100"/>
    <n v="100"/>
    <n v="100"/>
    <s v=""/>
    <m/>
    <s v=""/>
    <x v="9"/>
    <n v="28"/>
    <x v="1"/>
    <x v="1"/>
    <x v="0"/>
    <x v="0"/>
    <n v="17"/>
    <x v="1"/>
  </r>
  <r>
    <s v="1063"/>
    <s v="Visita Domo de Ferro"/>
    <x v="6"/>
    <x v="1"/>
    <d v="2026-08-24T00:00:00"/>
    <s v="Aline da Silva Mesquita"/>
    <s v="Finalizada"/>
    <x v="0"/>
    <s v=""/>
    <s v=""/>
    <s v="0702600108"/>
    <x v="2"/>
    <x v="12"/>
    <x v="0"/>
    <s v="Coxim"/>
    <s v="Ventura obra do Centro de Convenções 070-26-00108_x000a_Porem segue algumas observações;_x000a_a Obra ainda não esta em execução mesmo ter saído sem custo, provavelmente o que esta pendente é o contrato de demanda com os grandes clientes._x000a_o posto de transformação também esta pendente a solicitação de comissionamento."/>
    <d v="2026-08-24T00:00:00"/>
    <s v="Verificar com o cliente a aprovação do orçamento, para liberação da programação da obra."/>
    <d v="2026-08-28T00:00:00"/>
    <s v="Em tratativa com o cliente o mesmo foi informado que é necessário enviar formulário preenchido. Aguardando o mesmo enviar o formulário."/>
    <m/>
    <d v="2026-08-27T00:00:00"/>
    <m/>
    <s v="Marcelly Arce Avalo Franca"/>
    <s v="Rafaela Almeida"/>
    <m/>
    <s v="Availdo Taveira de Oliveira"/>
    <s v="Não"/>
    <s v="Visita Domo de Ferro"/>
    <d v="2026-08-28T00:00:00"/>
    <s v="Rafaela Mattos de Almeida"/>
    <d v="2026-08-28T00:00:00"/>
    <s v="Rafaela Mattos de Almeida"/>
    <n v="100"/>
    <n v="100"/>
    <n v="100"/>
    <s v=""/>
    <m/>
    <s v=""/>
    <x v="9"/>
    <n v="28"/>
    <x v="1"/>
    <x v="1"/>
    <x v="0"/>
    <x v="0"/>
    <n v="4"/>
    <x v="1"/>
  </r>
  <r>
    <s v="1068"/>
    <s v="Visita Domo de Ferro"/>
    <x v="0"/>
    <x v="0"/>
    <d v="2026-08-21T00:00:00"/>
    <s v="Availdo Taveira de Oliveira"/>
    <s v="Finalizada"/>
    <x v="1"/>
    <s v=""/>
    <s v=""/>
    <s v="0702600176"/>
    <x v="2"/>
    <x v="12"/>
    <x v="0"/>
    <s v="Coxim"/>
    <s v="Prefeito solicita agilidade na execução da obra de relocação da rede. Respondido no ID 1064 duplicado. Finalizando CARD atual."/>
    <d v="2026-08-25T00:00:00"/>
    <s v="Obra 0702600176 - Programação de obra (agilidade na execução)."/>
    <d v="2026-09-04T00:00:00"/>
    <s v="RESPONDIDO NO ID 1064"/>
    <d v="2026-09-15T00:00:00"/>
    <m/>
    <m/>
    <s v="Amanda Aparecida Teixeira dos Santos"/>
    <s v="Amanda Santos"/>
    <m/>
    <s v=""/>
    <s v="Não"/>
    <s v="Visita Domo de Ferro"/>
    <d v="2026-09-04T00:00:00"/>
    <s v="Amanda Aparecida Teixeira dos Santos"/>
    <d v="2026-09-04T00:00:00"/>
    <s v="Amanda Aparecida Teixeira dos Santos"/>
    <n v="100"/>
    <n v="100"/>
    <n v="100"/>
    <s v=""/>
    <m/>
    <s v=""/>
    <x v="9"/>
    <n v="31"/>
    <x v="0"/>
    <x v="0"/>
    <x v="1"/>
    <x v="0"/>
    <n v="10"/>
    <x v="0"/>
  </r>
  <r>
    <s v="147"/>
    <s v="Visita Domo de Ferro"/>
    <x v="5"/>
    <x v="0"/>
    <d v="2026-05-12T00:00:00"/>
    <s v="Giovani Moura Sousa"/>
    <s v="Finalizada"/>
    <x v="1"/>
    <s v=""/>
    <s v=""/>
    <s v=""/>
    <x v="1"/>
    <x v="32"/>
    <x v="3"/>
    <s v="Sidrolândia"/>
    <s v="NÃO CONSTA INFORMAÇÕES BÁSICAS PARA SEGUIR COM A TRATATIVA."/>
    <d v="2026-05-12T00:00:00"/>
    <s v="Gentileza verificar como esta a questão de programação de poda no município de Sidrolândia."/>
    <d v="2026-08-13T00:00:00"/>
    <m/>
    <m/>
    <m/>
    <m/>
    <s v="Evair Rogerio da Conceicao"/>
    <s v="Gabriella Domingo"/>
    <s v="Deputado Renato Câmara_x000a_Giovani Energisa"/>
    <s v="Giovani Moura Sousa"/>
    <s v="Não"/>
    <s v="Visita Domo de Ferro"/>
    <d v="2026-09-03T00:00:00"/>
    <s v="Moacir Costa Neto"/>
    <d v="2026-08-13T00:00:00"/>
    <s v="Gabriella Amorim Domingo"/>
    <n v="100"/>
    <n v="100"/>
    <n v="100"/>
    <s v=""/>
    <m/>
    <s v=""/>
    <x v="8"/>
    <n v="132"/>
    <x v="0"/>
    <x v="1"/>
    <x v="0"/>
    <x v="0"/>
    <n v="93"/>
    <x v="3"/>
  </r>
  <r>
    <s v="147"/>
    <s v="Visita Domo de Ferro"/>
    <x v="2"/>
    <x v="1"/>
    <d v="2026-05-12T00:00:00"/>
    <s v="Giovani Moura Sousa"/>
    <s v="Finalizada"/>
    <x v="1"/>
    <s v=""/>
    <s v=""/>
    <s v=""/>
    <x v="1"/>
    <x v="32"/>
    <x v="3"/>
    <s v="Sidrolândia"/>
    <s v="NÃO CONSTA INFORMAÇÕES BÁSICAS PARA SEGUIR COM A TRATATIVA."/>
    <d v="2026-05-12T00:00:00"/>
    <s v="Agente Giovani, quanto a qualidade sobre o reestabelecimento de energia em tempo hábil precisa de mais informações para análise da área."/>
    <d v="2026-08-13T00:00:00"/>
    <m/>
    <m/>
    <m/>
    <m/>
    <s v="Giovani Moura Sousa"/>
    <s v="Gabriella Domingo"/>
    <s v="Deputado Renato Câmara_x000a_Giovani Energisa"/>
    <s v="Giovani Moura Sousa"/>
    <s v="Não"/>
    <s v="Visita Domo de Ferro"/>
    <d v="2026-09-03T00:00:00"/>
    <s v="Moacir Costa Neto"/>
    <d v="2026-08-13T00:00:00"/>
    <s v="Gabriella Amorim Domingo"/>
    <n v="100"/>
    <n v="100"/>
    <n v="100"/>
    <s v=""/>
    <m/>
    <s v=""/>
    <x v="8"/>
    <n v="132"/>
    <x v="0"/>
    <x v="1"/>
    <x v="0"/>
    <x v="0"/>
    <n v="93"/>
    <x v="7"/>
  </r>
  <r>
    <s v="150"/>
    <s v="Visita Domo de Ferro"/>
    <x v="2"/>
    <x v="1"/>
    <d v="2026-05-12T00:00:00"/>
    <s v="Giovani Moura Sousa"/>
    <s v="Finalizada"/>
    <x v="1"/>
    <s v="Câmara Municipal Ponta Porã"/>
    <s v=""/>
    <s v=""/>
    <x v="0"/>
    <x v="22"/>
    <x v="2"/>
    <s v="Ponta Porã"/>
    <s v="Solicitou atenão da Energisa quanto ao tempo de reestabelecimento da energia._x000a_Solicitou medição da energia que chega na torre transmissora da rádio de sua propriedade."/>
    <m/>
    <s v="Agente solicitar unidade consumidora ou uma referência para localizar a unidade reclamada."/>
    <d v="2026-05-12T00:00:00"/>
    <s v="Enviado ao Agente no whats. Agente solicitar unidade consumidora ou uma referência para localizar a unidade reclamada."/>
    <m/>
    <m/>
    <m/>
    <s v="Vazio"/>
    <s v="Danila Souza"/>
    <s v="Vereador Agnaldo Miudinho_x000a_Giovani energisa"/>
    <s v="Fabricio da Silva Almeida"/>
    <s v="Não"/>
    <s v="Visita Domo de Ferro"/>
    <d v="2026-09-03T00:00:00"/>
    <s v="Moacir Costa Neto"/>
    <d v="2026-05-12T00:00:00"/>
    <s v="Danila Hertal Moreira Souza"/>
    <n v="25"/>
    <n v="25"/>
    <n v="12.5"/>
    <s v=""/>
    <m/>
    <s v=""/>
    <x v="0"/>
    <n v="132"/>
    <x v="0"/>
    <x v="1"/>
    <x v="0"/>
    <x v="0"/>
    <n v="46154"/>
    <x v="5"/>
  </r>
  <r>
    <s v="156"/>
    <s v="Visita Domo de Ferro"/>
    <x v="2"/>
    <x v="2"/>
    <d v="2026-07-28T00:00:00"/>
    <s v="Giovani Moura Sousa"/>
    <s v="Finalizada"/>
    <x v="1"/>
    <s v=""/>
    <s v=""/>
    <s v=""/>
    <x v="0"/>
    <x v="13"/>
    <x v="2"/>
    <s v="Dourados"/>
    <s v="Vereador solicitou revisão no sistema elétrico nos bairros Novo Horizonte e Altos do Indaiá em Dourados. Protocolo 9500628194."/>
    <m/>
    <s v="Gentileza verificar os bairros relatados pelo vereador. Na reunião em campo o Agente de relacionamento Giovani coletou o protocolo 9500628194 UC 3742758."/>
    <d v="2026-08-18T00:00:00"/>
    <s v="DUPLICADO COM ID 550"/>
    <m/>
    <m/>
    <d v="2026-08-18T00:00:00"/>
    <s v="Gerson Mendes Ortiz"/>
    <s v="Bruna Santos"/>
    <s v="Vereador Sargento Prates_x000a_Giovani energisa"/>
    <s v="Giovani Moura Sousa"/>
    <s v="Não"/>
    <s v="Visita Domo de Ferro"/>
    <d v="2026-09-03T00:00:00"/>
    <s v="Moacir Costa Neto"/>
    <d v="2026-08-18T00:00:00"/>
    <s v="Bruna Fabiana Braguin dos Santos"/>
    <n v="25"/>
    <n v="25"/>
    <n v="25"/>
    <s v=""/>
    <m/>
    <s v=""/>
    <x v="10"/>
    <n v="55"/>
    <x v="0"/>
    <x v="1"/>
    <x v="0"/>
    <x v="0"/>
    <n v="46252"/>
    <x v="2"/>
  </r>
  <r>
    <s v="186"/>
    <s v="Visita Domo de Ferro"/>
    <x v="1"/>
    <x v="0"/>
    <d v="2026-07-28T00:00:00"/>
    <s v="Dian Cleiton de Brito"/>
    <s v="Finalizada"/>
    <x v="1"/>
    <s v=""/>
    <s v=""/>
    <s v=""/>
    <x v="0"/>
    <x v="33"/>
    <x v="0"/>
    <s v="Jateí"/>
    <s v="Agenda para evitar audiência Pública."/>
    <d v="2026-05-13T00:00:00"/>
    <s v="Arquivo da visita referentes ao pontos em KML em anexo nesse card._x000a_ Ponto 1 – Poda MT/BT_x000a_ Ponto 4 – Poda MT_x000a_ Ponto 5 – Poda BT_x000a_ Ponto 6 – Manutenção Fusível_x000a_ Ponto 7 – Poda BT_x000a_ Ponto 12 – Medidor Exposto_x000a_ Ponto 13 – Poda BT_x000a_ Ponto 14 – Poda/Manutenção_x000a_ Ponto 15 – Poda BT_x000a_ Ponto 16 – Poda BT_x000a_ Ponto 17 – Poda BT_x000a_ Ponto 18 – Poda BT_x000a_ Ponto 19 – Poda MT_x000a_ Ponto 20 – Aprumar Poste_x000a_ Ponto 21 – Regularizar Ramal / Implantar Poste._x000a_ Ponto 22 – Poda BT_x000a_ Ponto 23 – Poda MT_x000a_ Ponto 24 – Poda MT"/>
    <d v="2026-08-13T00:00:00"/>
    <m/>
    <m/>
    <d v="2026-08-28T00:00:00"/>
    <m/>
    <s v="Evair Rogerio da Conceicao"/>
    <s v="Gabriella Domingo"/>
    <s v="Prefeita- Cileide_x000a_Presidente da Câmara - Robinho_x000a_Representante do Comercio_x000a_SANESUL_x000a_Representante assentamento rural"/>
    <s v="Dian Cleiton de Brito"/>
    <s v="Não"/>
    <s v="Visita Domo de Ferro"/>
    <d v="2026-09-03T00:00:00"/>
    <s v="Moacir Costa Neto"/>
    <d v="2026-08-13T00:00:00"/>
    <s v="Gabriella Amorim Domingo"/>
    <n v="100"/>
    <n v="100"/>
    <n v="100"/>
    <s v=""/>
    <m/>
    <s v=""/>
    <x v="10"/>
    <n v="55"/>
    <x v="0"/>
    <x v="1"/>
    <x v="0"/>
    <x v="0"/>
    <n v="92"/>
    <x v="3"/>
  </r>
  <r>
    <s v="186"/>
    <s v="Visita Domo de Ferro"/>
    <x v="1"/>
    <x v="2"/>
    <d v="2026-07-28T00:00:00"/>
    <s v="Dian Cleiton de Brito"/>
    <s v="Finalizada"/>
    <x v="1"/>
    <s v=""/>
    <s v=""/>
    <s v=""/>
    <x v="0"/>
    <x v="33"/>
    <x v="0"/>
    <s v="Jateí"/>
    <s v="Agenda para evitar audiência Pública."/>
    <m/>
    <s v="Sobrecarga: Alegaram que um dos loteamentos da cidade está com constantes faltas de energia, e que suspeitam de sobrecarga, o bairro se chama PORTAL DO SOL. Explicamos para os presentes que podemos estar tratando de um possível aumento de carga a revelia. Solicitamos para que a câmara nos passe as UC´s para realizarmos uma avaliação completa no local.Citaram que lá existe: Igreja, salão, funilaria, loja de material para construção._x000a_As referências elétricas são: TD(748480) // TD(748483) // TD (705324) // TD (705323) // TD (9631) - GDO02_x000a_Falta de energia: Gleba Nova Esperança: Alegam constantes interrupções nesta região, alegam que lá existe uma escola com mais de 200 alunos e que vem sofrendo com constantes quedas de energia.  As referências elétricas são: TD(35070) // TD (34501) // TD (719015) – NHS 01._x000a_ Manutenção: Informaram que existe uma demanda para troca de postes de madeira de eucalipto. Informações que iriamos checar o status dessa demanda e dar uma devolutiva."/>
    <d v="2026-08-25T00:00:00"/>
    <s v="É necessário que o município encaminhe um oficio contendo as unidades consumidoras e a descrição de cada uma, para que possamos realizar o ajuste, o município precisa formalizar o pedido através de oficio."/>
    <m/>
    <m/>
    <d v="2026-08-25T00:00:00"/>
    <s v="Gerson Mendes Ortiz"/>
    <s v="Wander Machado"/>
    <s v="Prefeita- Cileide_x000a_Presidente da Câmara - Robinho_x000a_Representante do Comercio_x000a_SANESUL_x000a_Representante assentamento rural"/>
    <s v="Dian Cleiton de Brito"/>
    <s v="Não"/>
    <s v="Visita Domo de Ferro"/>
    <d v="2026-09-03T00:00:00"/>
    <s v="Moacir Costa Neto"/>
    <d v="2026-08-25T00:00:00"/>
    <s v="Wander Idalino Machado"/>
    <n v="100"/>
    <n v="100"/>
    <n v="100"/>
    <s v=""/>
    <m/>
    <s v=""/>
    <x v="10"/>
    <n v="55"/>
    <x v="0"/>
    <x v="1"/>
    <x v="0"/>
    <x v="0"/>
    <n v="46259"/>
    <x v="2"/>
  </r>
  <r>
    <s v="186"/>
    <s v="Visita Domo de Ferro"/>
    <x v="1"/>
    <x v="1"/>
    <d v="2026-07-28T00:00:00"/>
    <s v="Dian Cleiton de Brito"/>
    <s v="Finalizada"/>
    <x v="1"/>
    <s v=""/>
    <s v=""/>
    <s v=""/>
    <x v="0"/>
    <x v="33"/>
    <x v="0"/>
    <s v="Jateí"/>
    <s v="Agenda para evitar audiência Pública."/>
    <d v="2026-05-13T00:00:00"/>
    <s v=" Ajuste no Faturamento: A Prefeita solicita a alteração dos nomes das unidades consumidoras da Prefeitura, de forma a facilitar a gestão do município na hora de pagar as despesas, uma vez que atualmente a descrição das unidades da Prefeitura não discriminam qual é o local (Posto de Saúde, Creche, Escola, Prefeitura)."/>
    <d v="2026-08-25T00:00:00"/>
    <s v="É necessário que o município encaminhe um oficio contendo as unidades consumidoras e a descrição de cada uma, para que possamos realizar o ajuste, o município precisa formalizar o pedido através de oficio."/>
    <m/>
    <m/>
    <d v="2026-08-25T00:00:00"/>
    <s v="Monike Chaves"/>
    <s v="Wander Machado"/>
    <s v="Prefeita- Cileide_x000a_Presidente da Câmara - Robinho_x000a_Representante do Comercio_x000a_SANESUL_x000a_Representante assentamento rural"/>
    <s v="Dian Cleiton de Brito"/>
    <s v="Não"/>
    <s v="Visita Domo de Ferro"/>
    <d v="2026-09-03T00:00:00"/>
    <s v="Moacir Costa Neto"/>
    <d v="2026-08-25T00:00:00"/>
    <s v="Wander Idalino Machado"/>
    <n v="100"/>
    <n v="100"/>
    <n v="100"/>
    <s v=""/>
    <m/>
    <s v=""/>
    <x v="10"/>
    <n v="55"/>
    <x v="0"/>
    <x v="1"/>
    <x v="0"/>
    <x v="0"/>
    <n v="104"/>
    <x v="1"/>
  </r>
  <r>
    <s v="248"/>
    <s v="Visita Domo de Ferro"/>
    <x v="0"/>
    <x v="1"/>
    <d v="2026-05-12T00:00:00"/>
    <s v="Dian Cleiton de Brito"/>
    <s v="Finalizada"/>
    <x v="1"/>
    <s v=""/>
    <s v=""/>
    <s v=""/>
    <x v="0"/>
    <x v="26"/>
    <x v="0"/>
    <s v="Fátima do Sul"/>
    <s v="SOLICITA AGILIZAR ANALISE DE PROJETO DE GD QUE TEM RECURSOS APROVADOS PELA ITAIPU._x000a__x000a_PROJETO APROVADO DIA 27/05."/>
    <d v="2026-06-22T00:00:00"/>
    <s v="Dian, gentileza confirmar com a prefeitura se receberam o orçamento. E garantir estão ciente que devem solicitar o orçamento do ponto de entrega para conexão do empreendimento, pois até o momento não tem essa solicitação registrada."/>
    <d v="2026-08-13T00:00:00"/>
    <m/>
    <m/>
    <m/>
    <m/>
    <s v="Dian Cleiton de Brito"/>
    <s v="Gabriella Domingo"/>
    <s v="Marcio Jose Gomes_x000a_Danilo Katsomori_x000a_Dirceu Deguti Viera Filho_x000a_Bruno de Araujo Benites Rosa da EFENG"/>
    <s v="Dian Cleiton de Brito"/>
    <s v="Não"/>
    <s v="Visita Domo de Ferro"/>
    <d v="2026-09-03T00:00:00"/>
    <s v="Moacir Costa Neto"/>
    <d v="2026-08-13T00:00:00"/>
    <s v="Gabriella Amorim Domingo"/>
    <n v="100"/>
    <n v="100"/>
    <n v="100"/>
    <s v=""/>
    <m/>
    <s v=""/>
    <x v="1"/>
    <n v="132"/>
    <x v="0"/>
    <x v="1"/>
    <x v="0"/>
    <x v="0"/>
    <n v="52"/>
    <x v="7"/>
  </r>
  <r>
    <s v="248"/>
    <s v="Visita Domo de Ferro"/>
    <x v="8"/>
    <x v="0"/>
    <d v="2026-05-12T00:00:00"/>
    <s v="Dian Cleiton de Brito"/>
    <s v="Finalizada"/>
    <x v="1"/>
    <s v=""/>
    <s v=""/>
    <s v=""/>
    <x v="0"/>
    <x v="26"/>
    <x v="0"/>
    <s v="Fátima do Sul"/>
    <s v="SOLICITA AGILIZAR ANALISE DE PROJETO DE GD QUE TEM RECURSOS APROVADOS PELA ITAIPU._x000a__x000a_PROJETO APROVADO DIA 27/05."/>
    <d v="2026-05-13T00:00:00"/>
    <s v="Solicitado para agilizar análise do PE 1962226. OS nº 530498622."/>
    <d v="2026-06-24T00:00:00"/>
    <m/>
    <d v="2026-07-31T00:00:00"/>
    <m/>
    <d v="2026-06-22T00:00:00"/>
    <s v="Bruna Victoria Rodrigues Ricardes"/>
    <s v="Rafaela Almeida"/>
    <s v="Marcio Jose Gomes_x000a_Danilo Katsomori_x000a_Dirceu Deguti Viera Filho_x000a_Bruno de Araujo Benites Rosa da EFENG"/>
    <s v="Dian Cleiton de Brito"/>
    <s v="Não"/>
    <s v="Visita Domo de Ferro"/>
    <d v="2026-09-03T00:00:00"/>
    <s v="Moacir Costa Neto"/>
    <d v="2026-06-24T00:00:00"/>
    <s v="Rafaela Mattos de Almeida"/>
    <n v="100"/>
    <n v="100"/>
    <n v="100"/>
    <s v=""/>
    <m/>
    <s v=""/>
    <x v="1"/>
    <n v="132"/>
    <x v="0"/>
    <x v="1"/>
    <x v="0"/>
    <x v="0"/>
    <n v="42"/>
    <x v="4"/>
  </r>
  <r>
    <s v="269"/>
    <s v="Visita Domo de Ferro"/>
    <x v="4"/>
    <x v="1"/>
    <d v="2026-01-30T00:00:00"/>
    <s v="Monike Chaves"/>
    <s v="Finalizada"/>
    <x v="1"/>
    <s v="Prefeitura de Rio Negro"/>
    <s v=""/>
    <s v=""/>
    <x v="2"/>
    <x v="34"/>
    <x v="0"/>
    <s v="Rio Negro"/>
    <s v="Agenda de Campo - Projeto Integrar"/>
    <d v="2026-05-13T00:00:00"/>
    <s v="Sinalizado alguns empreendimentos novos no município que será lançado como: Loteamento Valdemar Pedro e a Pavimentação da estrada da Ponte Nova."/>
    <m/>
    <m/>
    <m/>
    <m/>
    <m/>
    <s v="Monike Chaves"/>
    <s v=""/>
    <m/>
    <s v="Luis Filipe Swenson Pereira Amado, Anderson Brum Smaniotto"/>
    <s v="Não"/>
    <s v="Visita Domo de Ferro"/>
    <d v="2026-09-03T00:00:00"/>
    <s v="Moacir Costa Neto"/>
    <d v="2026-05-13T00:00:00"/>
    <s v="Danila Hertal Moreira Souza"/>
    <n v="100"/>
    <n v="100"/>
    <n v="50"/>
    <s v=""/>
    <m/>
    <s v=""/>
    <x v="9"/>
    <n v="234"/>
    <x v="0"/>
    <x v="1"/>
    <x v="0"/>
    <x v="1"/>
    <n v="131"/>
    <x v="1"/>
  </r>
  <r>
    <s v="269"/>
    <s v="Visita Domo de Ferro"/>
    <x v="2"/>
    <x v="2"/>
    <d v="2026-01-30T00:00:00"/>
    <s v="Monike Chaves"/>
    <s v="Finalizada"/>
    <x v="1"/>
    <s v=""/>
    <s v=""/>
    <s v=""/>
    <x v="2"/>
    <x v="34"/>
    <x v="0"/>
    <s v="Rio Negro"/>
    <s v="Agenda de Campo - Projeto Integrar"/>
    <d v="2026-05-13T00:00:00"/>
    <s v="Ativar o RD recém instalado: RD58497164."/>
    <d v="2026-08-13T00:00:00"/>
    <s v="RD58497164 - com supervisão, imagem anexo."/>
    <m/>
    <m/>
    <d v="2026-08-13T00:00:00"/>
    <s v="Gerson Mendes Ortiz"/>
    <s v="Bruna Santos"/>
    <m/>
    <s v="Luis Filipe Swenson Pereira Amado, Anderson Brum Smaniotto"/>
    <s v="Não"/>
    <s v="Visita Domo de Ferro"/>
    <d v="2026-09-03T00:00:00"/>
    <s v="Moacir Costa Neto"/>
    <d v="2026-08-13T00:00:00"/>
    <s v="Bruna Fabiana Braguin dos Santos"/>
    <n v="100"/>
    <n v="100"/>
    <n v="100"/>
    <s v=""/>
    <m/>
    <s v=""/>
    <x v="9"/>
    <n v="234"/>
    <x v="0"/>
    <x v="1"/>
    <x v="0"/>
    <x v="1"/>
    <n v="92"/>
    <x v="2"/>
  </r>
  <r>
    <s v="270"/>
    <s v="Visita Domo de Ferro"/>
    <x v="1"/>
    <x v="2"/>
    <d v="2026-05-18T00:00:00"/>
    <s v="Monike Chaves"/>
    <s v="Finalizada"/>
    <x v="1"/>
    <s v=""/>
    <s v=""/>
    <s v=""/>
    <x v="0"/>
    <x v="35"/>
    <x v="0"/>
    <s v="Vicentina"/>
    <s v="Agenda de Campo - Projeto Integrar"/>
    <d v="2026-05-18T00:00:00"/>
    <s v="Prefeito pediu uma atenção especial para um assentamento que fica no município de Caarapó, porém pela proximidade com Vicentina os moradores vão até o município para solicitar melhorias, são produtores de leite. ASSENTAMENTO NOSSA SRA. DO CARMO - 41 Assentados. Manutenção de rede. Verificar reincidência de abertura e inserir num acompanhamento específico. Referências elétricas: FU(963) FU(38390) - VIC02"/>
    <d v="2026-08-13T00:00:00"/>
    <s v="AÇÃO FINALIZADA EM CAMPO, EM CONTATO COM O PREFEITO, HOUVE UMA MELHORA SIGNIFICATIVA APÓS AS MANUTENÇÕES"/>
    <m/>
    <m/>
    <d v="2026-08-13T00:00:00"/>
    <s v="Luan Henrique Soares Diniz Afonso"/>
    <s v="Bruna Santos"/>
    <s v="Reunião realizada com a prefeitura: Prefeito Cleber, Bruna e Leticia."/>
    <s v="Diego Souza Silva"/>
    <s v="Não"/>
    <s v="Visita Domo de Ferro"/>
    <d v="2026-09-03T00:00:00"/>
    <s v="Moacir Costa Neto"/>
    <d v="2026-08-13T00:00:00"/>
    <s v="Bruna Fabiana Braguin dos Santos"/>
    <n v="100"/>
    <n v="100"/>
    <n v="100"/>
    <s v=""/>
    <m/>
    <s v=""/>
    <x v="6"/>
    <n v="126"/>
    <x v="0"/>
    <x v="1"/>
    <x v="0"/>
    <x v="1"/>
    <n v="87"/>
    <x v="2"/>
  </r>
  <r>
    <s v="270"/>
    <s v="Visita Domo de Ferro"/>
    <x v="1"/>
    <x v="1"/>
    <d v="2026-05-18T00:00:00"/>
    <s v="Monike Chaves"/>
    <s v="Finalizada"/>
    <x v="1"/>
    <s v=""/>
    <s v=""/>
    <s v=""/>
    <x v="0"/>
    <x v="35"/>
    <x v="0"/>
    <s v="Vicentina"/>
    <s v="Agenda de Campo - Projeto Integrar"/>
    <d v="2026-05-18T00:00:00"/>
    <s v="Checar se estão cadastrados como bacia leiteira"/>
    <d v="2026-06-24T00:00:00"/>
    <m/>
    <d v="2026-06-18T00:00:00"/>
    <m/>
    <m/>
    <s v="Monike Chaves"/>
    <s v="Rafaela Almeida"/>
    <s v="Reunião realizada com a prefeitura: Prefeito Cleber, Bruna e Leticia."/>
    <s v="Diego Souza Silva"/>
    <s v="Não"/>
    <s v="Visita Domo de Ferro"/>
    <d v="2026-09-03T00:00:00"/>
    <s v="Moacir Costa Neto"/>
    <d v="2026-06-24T00:00:00"/>
    <s v="Rafaela Mattos de Almeida"/>
    <n v="100"/>
    <n v="100"/>
    <n v="100"/>
    <s v=""/>
    <m/>
    <s v=""/>
    <x v="6"/>
    <n v="126"/>
    <x v="0"/>
    <x v="0"/>
    <x v="0"/>
    <x v="1"/>
    <n v="37"/>
    <x v="1"/>
  </r>
  <r>
    <s v="272"/>
    <s v="Visita Domo de Ferro"/>
    <x v="1"/>
    <x v="3"/>
    <d v="2026-05-13T00:00:00"/>
    <s v="Danila Hertal Moreira Souza"/>
    <s v="Finalizada"/>
    <x v="1"/>
    <s v=""/>
    <s v=""/>
    <s v=""/>
    <x v="0"/>
    <x v="13"/>
    <x v="0"/>
    <s v="Dourados"/>
    <s v="Origem: Thiago Balbio/Pres. Paulo. Solicitação de prioridade da obra 0202600473- Afastamento de Rede OS 509306177. Expectativa do cliente:  o quanto antes essas, lançado no priorizador 31/05."/>
    <d v="2026-05-13T00:00:00"/>
    <m/>
    <d v="2026-08-11T00:00:00"/>
    <m/>
    <m/>
    <m/>
    <m/>
    <s v="Vazio"/>
    <s v="Aline Mesquita"/>
    <s v="Prefeito Marçal Filho"/>
    <s v="Danila Hertal Moreira Souza"/>
    <s v="Não"/>
    <s v="Visita Domo de Ferro"/>
    <d v="2026-09-03T00:00:00"/>
    <s v="Moacir Costa Neto"/>
    <d v="2026-08-11T00:00:00"/>
    <s v="Aline da Silva Mesquita"/>
    <n v="100"/>
    <n v="100"/>
    <n v="100"/>
    <s v=""/>
    <m/>
    <s v=""/>
    <x v="10"/>
    <n v="131"/>
    <x v="0"/>
    <x v="1"/>
    <x v="0"/>
    <x v="0"/>
    <n v="90"/>
    <x v="5"/>
  </r>
  <r>
    <s v="272"/>
    <s v="Visita Domo de Ferro"/>
    <x v="0"/>
    <x v="0"/>
    <d v="2026-05-13T00:00:00"/>
    <s v="Danila Hertal Moreira Souza"/>
    <s v="Finalizada"/>
    <x v="1"/>
    <s v="Prefeitura de Dourados"/>
    <s v=""/>
    <s v="0202600473"/>
    <x v="0"/>
    <x v="13"/>
    <x v="0"/>
    <s v="Dourados"/>
    <s v="Origem: Thiago Balbio/Pres. Paulo. Solicitação de prioridade da obra 0202600473- Afastamento de Rede OS 509306177. Expectativa do cliente:  o quanto antes essas, lançado no priorizador 31/05."/>
    <d v="2026-05-13T00:00:00"/>
    <s v="Origem: Thiago Balbio/Pres. Paulo. Solicitação de prioridade da obra 0202600473- Afastamento de Rede OS 509306177. Expectativa do cliente:  o quanto antes essas, lançado no priorizador 31/05."/>
    <d v="2026-06-11T00:00:00"/>
    <s v="CONCLUIDA"/>
    <d v="2026-05-31T00:00:00"/>
    <m/>
    <m/>
    <s v="Felipe Souza do Nascimento"/>
    <s v="Felipe Nascimento"/>
    <s v="Prefeito Marçal Filho"/>
    <s v="Danila Hertal Moreira Souza"/>
    <s v="Não"/>
    <s v="Visita Domo de Ferro"/>
    <d v="2026-09-03T00:00:00"/>
    <s v="Moacir Costa Neto"/>
    <d v="2026-06-11T00:00:00"/>
    <s v="Felipe Souza do Nascimento"/>
    <n v="100"/>
    <n v="100"/>
    <n v="50"/>
    <s v=""/>
    <m/>
    <s v=""/>
    <x v="10"/>
    <n v="131"/>
    <x v="0"/>
    <x v="0"/>
    <x v="0"/>
    <x v="0"/>
    <n v="29"/>
    <x v="0"/>
  </r>
  <r>
    <s v="283"/>
    <s v="Visita Domo de Ferro"/>
    <x v="3"/>
    <x v="0"/>
    <d v="2026-05-14T00:00:00"/>
    <s v="Giovani Moura Sousa"/>
    <s v="Finalizada"/>
    <x v="1"/>
    <s v=""/>
    <s v=""/>
    <s v=""/>
    <x v="1"/>
    <x v="7"/>
    <x v="2"/>
    <s v="Campo Grande"/>
    <s v="RECOMPOSIÇÃO DE ENERGIA EM RUA LATERAL DO CONDOMÍNIO RIVIERA_x000a_LIGAÇÃO DE ILUMINAÇÃO PÚBLICA"/>
    <d v="2026-05-20T00:00:00"/>
    <s v="Conforme conversado pelo ligação com o César irá uma equipe no local hoje 20/05 para realizar o levantamento do que precisa para realizar a adequação da rede no máximo até sexta 22/05."/>
    <d v="2026-08-21T00:00:00"/>
    <s v="EM CONTATO COM O CESAR DO DCMD, INFORMOU QUE FOI REGULARIZADO"/>
    <m/>
    <m/>
    <m/>
    <s v="Evair Rogerio da Conceicao"/>
    <s v="Bruna Santos"/>
    <s v="Vereador André Salineiro_x000a_Giovani Moura Energisa"/>
    <s v="Giovani Moura Sousa"/>
    <s v="Não"/>
    <s v="Visita Domo de Ferro"/>
    <d v="2026-08-21T00:00:00"/>
    <s v="Bruna Fabiana Braguin dos Santos"/>
    <d v="2026-08-21T00:00:00"/>
    <s v="Bruna Fabiana Braguin dos Santos"/>
    <n v="25"/>
    <n v="25"/>
    <n v="25"/>
    <s v=""/>
    <m/>
    <s v=""/>
    <x v="5"/>
    <n v="130"/>
    <x v="0"/>
    <x v="1"/>
    <x v="0"/>
    <x v="0"/>
    <n v="93"/>
    <x v="3"/>
  </r>
  <r>
    <s v="290"/>
    <s v="Visita Domo de Ferro"/>
    <x v="1"/>
    <x v="2"/>
    <d v="2026-02-01T00:00:00"/>
    <s v="Monike Chaves"/>
    <s v="Finalizada"/>
    <x v="1"/>
    <s v=""/>
    <s v=""/>
    <s v=""/>
    <x v="0"/>
    <x v="33"/>
    <x v="0"/>
    <s v="Jateí"/>
    <s v="Agenda de Campo - Projeto Integrar"/>
    <d v="2026-05-18T00:00:00"/>
    <s v="1 - Falta de energia: Gleba Nova Esperança: Alegam constantes interrupções nesta região, alegam que lá existe uma escola com mais de 200 alunos e que vem sofrendo com constantes quedas de energia. Informaram que existe uma demanda para troca de postes de madeira de eucalipto. Informações que iriamos checar o status dessa demanda e dar uma devolutiva. SENDO TRATADO NO CARD 186._x000a_2 - Nível de tensão: Recebemos muitas reclamações dos vereadores de oscilações de energia ao longo do período diurno. PENDENTE_x000a_3 -"/>
    <d v="2026-08-13T00:00:00"/>
    <s v="TODAS AS AÇÕES CONCLUÍDAS"/>
    <m/>
    <m/>
    <d v="2026-08-13T00:00:00"/>
    <s v="Luan Henrique Soares Diniz Afonso"/>
    <s v="Bruna Santos"/>
    <s v="Prefeitura e Câmara: Prefeita Cileide, Vice Prefeito Francisco, Vereadora Antônia, Vereador Edson e Outros 4 vereadores"/>
    <s v="Diego Souza Silva, Emerson Seixas Costa, Thiago de Alvarenga Balbio"/>
    <s v="Não"/>
    <s v="Solicitações GA"/>
    <d v="2026-09-03T00:00:00"/>
    <s v="Moacir Costa Neto"/>
    <d v="2026-08-13T00:00:00"/>
    <s v="Bruna Fabiana Braguin dos Santos"/>
    <n v="100"/>
    <n v="100"/>
    <n v="100"/>
    <s v=""/>
    <m/>
    <s v=""/>
    <x v="10"/>
    <n v="232"/>
    <x v="0"/>
    <x v="1"/>
    <x v="0"/>
    <x v="1"/>
    <n v="87"/>
    <x v="2"/>
  </r>
  <r>
    <s v="290"/>
    <s v="Visita Domo de Ferro"/>
    <x v="1"/>
    <x v="1"/>
    <d v="2026-02-01T00:00:00"/>
    <s v="Monike Chaves"/>
    <s v="Finalizada"/>
    <x v="1"/>
    <s v=""/>
    <s v=""/>
    <s v=""/>
    <x v="0"/>
    <x v="33"/>
    <x v="0"/>
    <s v="Jateí"/>
    <s v="Agenda de Campo - Projeto Integrar"/>
    <d v="2026-05-18T00:00:00"/>
    <s v="1 - Prefeita informou que a maior festa da cidade é a festa da fogueira, e será em 2026 em 29/06. INFORMAÇÃO_x000a_2 - Hotel na frente da praça: Prefeita citou que esse hotel é do mesmo dono do restaurante, a solicitação está no nome do solicitante: Edson Alves dos Santos (67 99698-3121). Prefeita pediu para agilizar esse pedido. PENDENTE_x000a_3 - A unidade consumidora do restaurante (mesmo dono), alega estar com problemas de tensão, iremos checar para ver se temos histórico deste pedido. Edson Alves dos Santos (67 99698-3121). PENDENTE_x000a_4 - A Prefeita solicita a alteração dos nomes das unidades consumidoras da Prefeitura, de forma a facilitar a gestão do município na hora de pagar as despesas, uma vez que atualmente a descrição das unidades da Prefeitura não discriminam qual é o local (Posto de Saúde, Creche, Escola, Prefeitura). SENDO TRATADO NO CARD 186_x000a_5 - Atendimento: Reclamaram muito da GISA e do CallBack realizado pela Energisa, citaram muita dificuldade em serem atendidos pelos canais digitais. (PENDENTE)_x000a_6 - Prefeita citou sobre a comissão da Assomasul (Associação dos Municípios de Mato Grosso do Sul), onde percebe que estão sendo tratados muitos assuntos que envolvem a Energisa. INFORMAÇÃO_x000a_7 - usina solar construída pela Prefeitura. SENDO TRATADO NO CARD 186_x000a_8 - A Prefeita trouxe para discussão a COSIP e a taxa de iluminação pública. Ela até citou que desejava utilizar os créditos de sua usina solar para abater a Cosip, mas de qualquer forma caso essa ideia não seja viável, deseja ver uma forma de isentar as famílias de baixa rende de pagar a taxa, e segundo e vereador Edson, já existe uma lei municipal prevendo essa possibilidade. _x0009__x000a_Monike explicou que existe uma Portaria que ampara esse assunto, a se comprometeu a compartilhar com a Prefeitura. SENDO TRATADO NO CARD 186_x000a_9 - Sobre a carreta &quot;Nossa Energia&quot; da Eficiência Energética. Prefeita demonstrou interesse, solicitei para que ela sugerisse uma data para a realização de uma ação na cidade. (11 de novembro é o aniversário da cidade). Dia da Mulher: Em razão do município de Jateí. INFORMAÇÃO"/>
    <d v="2026-08-13T00:00:00"/>
    <s v="TODAS AS AÇÕES TRATADAS."/>
    <m/>
    <m/>
    <d v="2026-08-13T00:00:00"/>
    <s v="Monike Chaves"/>
    <s v="Bruna Santos"/>
    <s v="Prefeitura e Câmara: Prefeita Cileide, Vice Prefeito Francisco, Vereadora Antônia, Vereador Edson e Outros 4 vereadores"/>
    <s v="Diego Souza Silva, Emerson Seixas Costa, Thiago de Alvarenga Balbio"/>
    <s v="Não"/>
    <s v="Visita Domo de Ferro"/>
    <d v="2026-09-03T00:00:00"/>
    <s v="Moacir Costa Neto"/>
    <d v="2026-08-13T00:00:00"/>
    <s v="Bruna Fabiana Braguin dos Santos"/>
    <n v="100"/>
    <n v="100"/>
    <n v="100"/>
    <s v=""/>
    <m/>
    <s v=""/>
    <x v="10"/>
    <n v="232"/>
    <x v="0"/>
    <x v="1"/>
    <x v="0"/>
    <x v="1"/>
    <n v="87"/>
    <x v="1"/>
  </r>
  <r>
    <s v="290"/>
    <s v="Visita Domo de Ferro"/>
    <x v="2"/>
    <x v="2"/>
    <d v="2026-02-01T00:00:00"/>
    <s v="Monike Chaves"/>
    <s v="Finalizada"/>
    <x v="1"/>
    <s v="Prefeitura de Jateí"/>
    <s v=""/>
    <s v=""/>
    <x v="0"/>
    <x v="33"/>
    <x v="0"/>
    <s v="Jateí"/>
    <s v="Agenda de Campo - Projeto Integrar"/>
    <d v="2026-05-18T00:00:00"/>
    <s v="Sobrecarga: Alegaram que um dos loteamentos da cidade está com constantes faltas de energia, e que suspeitam de sobrecarga, o bairro se chama PORTAL DO SOL. Explicamos para os presentes que podemos estar tratando de um possível aumento de carga à revelia. Solicitamos para que a câmara nos informes as unidades consumidores para realizarmos uma avaliação completa no local. Citaram que lá existe: Igreja, salão, funilaria, loja de material para construção. As referências elétricas são: TD(748480) // TD(748483) - GDO02"/>
    <m/>
    <m/>
    <m/>
    <m/>
    <m/>
    <s v="Luan Henrique Soares Diniz Afonso"/>
    <s v=""/>
    <s v="Prefeitura e Câmara: Prefeita Cileide, Vice Prefeito Francisco, Vereadora Antônia, Vereador Edson e Outros 4 vereadores"/>
    <s v="Diego Souza Silva, Emerson Seixas Costa, Thiago de Alvarenga Balbio"/>
    <s v="Não"/>
    <s v="Visita Domo de Ferro"/>
    <d v="2026-09-03T00:00:00"/>
    <s v="Moacir Costa Neto"/>
    <d v="2026-05-18T00:00:00"/>
    <s v="Danila Hertal Moreira Souza"/>
    <n v="100"/>
    <n v="100"/>
    <n v="50"/>
    <s v=""/>
    <m/>
    <s v=""/>
    <x v="10"/>
    <n v="232"/>
    <x v="0"/>
    <x v="1"/>
    <x v="0"/>
    <x v="1"/>
    <n v="126"/>
    <x v="2"/>
  </r>
  <r>
    <s v="291"/>
    <s v="Visita Domo de Ferro"/>
    <x v="1"/>
    <x v="5"/>
    <d v="2026-02-01T00:00:00"/>
    <s v="Monike Chaves"/>
    <s v="Finalizada"/>
    <x v="1"/>
    <s v=""/>
    <s v=""/>
    <s v=""/>
    <x v="0"/>
    <x v="36"/>
    <x v="0"/>
    <s v="Deodápolis"/>
    <s v="Agenda de Campo - Projeto Integrar"/>
    <d v="2026-05-18T00:00:00"/>
    <s v="Atendimento: O Prefeito alegou dificuldades com o formato atual de atendimento na cidade, que é realizado dentro do Supermercado Macaúba em um Tóten com o auxílio de uma colaboradora do próprio mercado. _x000a_Ele nos informou que está abrindo uma central de atendimento ao cidadão, e ofereceu um dos postos, inclusive com mão de obra, para a agência a alocação de 1 tóten da Energisa. Essa central de atendimento estará pronta no segundo semestre."/>
    <d v="2026-08-12T00:00:00"/>
    <m/>
    <m/>
    <m/>
    <d v="2026-08-12T00:00:00"/>
    <s v="Wesley Ricardo Santana Cosim"/>
    <s v="Bruna Santos"/>
    <s v="Prefeitura e Câmara: Prefeito Jean, Assessor Orlindo."/>
    <s v="Diego Souza Silva, Emerson Seixas Costa, Thiago de Alvarenga Balbio"/>
    <s v="Não"/>
    <s v="Solicitações GA"/>
    <d v="2026-09-03T00:00:00"/>
    <s v="Moacir Costa Neto"/>
    <d v="2026-08-12T00:00:00"/>
    <s v="Bruna Fabiana Braguin dos Santos"/>
    <n v="100"/>
    <n v="100"/>
    <n v="100"/>
    <s v=""/>
    <m/>
    <s v=""/>
    <x v="6"/>
    <n v="232"/>
    <x v="0"/>
    <x v="1"/>
    <x v="0"/>
    <x v="1"/>
    <n v="86"/>
    <x v="10"/>
  </r>
  <r>
    <s v="291"/>
    <s v="Visita Domo de Ferro"/>
    <x v="1"/>
    <x v="1"/>
    <d v="2026-02-01T00:00:00"/>
    <s v="Monike Chaves"/>
    <s v="Finalizada"/>
    <x v="1"/>
    <s v=""/>
    <s v=""/>
    <s v=""/>
    <x v="0"/>
    <x v="36"/>
    <x v="0"/>
    <s v="Deodápolis"/>
    <s v="Agenda de Campo - Projeto Integrar"/>
    <d v="2026-05-18T00:00:00"/>
    <s v="1 - Creche João Pedro Pelegrini - Esta unidade ocupa atualmente 1/2 quarteirão, e segundo o Prefeito irão construir um Posto de Saúde. Eles alegam que atualmente o circuito já está apresentando constantes interrupções, e que na visão deles seria por problemas de sobrecarga.  _x000a_Definimos que a Prefeitura nos enviaria a carga atual da creche, e faremos uma análise com medição e levantamento em campo para identificação do atual problema. Neste levantamento já podemos checar qual será a melhor forma de atender a futura carga do posto de saúde que ficará nesta quadra. PENDENTE_x000a_2 - Alegaram que o prédio da Prefeitura também está com problemas de sobrecarga, geralmente percebido quando se liga o ar-condicionado. Com base na descrição do Sr. Orlindo, fica evidente se tratar de problema interno, pois ele cita que o disjuntor deles abre com frequência.  Solicitamos para que eles mapeiem a carga declarada da Prefeitura, e enviem para a Energisa avaliar a necessidade de melhoria na rede. Porém ficou esclarecido que não temos problemas em nossa rede.  PENDENTE_x000a_3 - Débito de IP: _x0009_O Prefeito e Assessor citaram sobre o &quot;susto&quot; que levaram após a comunicação da Energisa a respeito da cobrança de pontos de iluminação pública que não foram informados pela Prefeitura, e consequentemente não estavam cadastrados em nosso sistema. Eles citaram que não querem passar pelo mesmo problema e pediram nossa ajuda para apontar os locais onde estão fazendo a troca das lâmpadas. Informamos que esse levantamento não é de responsabilidade da Energisa, e que a própria Prefeitura deve realizar o levantamento e encaminhar para atualização da Energisa.  _x000a_Definimos que será agendada uma reunião com o técnico da Prefeitura para ensinarmos para ele como fazer o levantamento. (Diego Galego). PENDENTE_x000a_4 - Polo industrial: O Prefeito citou que estão criando um Pólo Industrial na cidade, e já possuem uma ideia do perfil de carga de quem irá se instalar por lá. _x0009_Informamos da importância da Prefeitura levantar a carga declarada para que a Energisa faça uma avaliação geral de demanda. Além disto, cada solicitante deverá entrar com seu pedido separadamente, gerando um processo de ligação para cada empresa instalada. PENDENTE_x000a_5 - Perguntaram da possiblidade de instalarmos mais lâmpadas de LED na cidade. Respondemos que esse processo é feito dentro das chamadas públicas de eficiência energética da ANEEL, e que para a Prefeitura necessita se inscrever na próxima janela que acontecerá no mês de setembro. INFORMAÇÃO_x000a_6 - Projeto Pontos Cegos (Iluminação Pública). Solicitaram recálculo dos orçamentos de rede (só não pagaram ano passado pois estavam com poucos recursos em caixa). _x000a_Pediram priorização das obras. Como elas ainda nem foram pagas, será necessária chegar uma ordem de priorização de desejo para a Prefeitura. (Levantar a relação de obras). PENDENTE_x000a_7 - Usina solar - ID 8453625 - Jean Carlos Silva Gomes. Prefeito cita que está tendo problemas para se fazer a injeção de potência e coletar os ganhos de sua GD, que pretende alugar para um Supermercado. _x0009__x0009__x0009_§ Identificamos que o problema nasceu por uma falta de seu projetista que não informou UC em seu projeto, e da Energisa de não devolver para que o cliente fizesse a correção. PENDENTE"/>
    <d v="2026-08-13T00:00:00"/>
    <m/>
    <m/>
    <m/>
    <m/>
    <s v="Monike Chaves"/>
    <s v="Gabriella Domingo"/>
    <s v="Prefeitura e Câmara: Prefeito Jean, Assessor Orlindo."/>
    <s v="Diego Souza Silva, Emerson Seixas Costa, Thiago de Alvarenga Balbio"/>
    <s v="Não"/>
    <s v="Visita Domo de Ferro"/>
    <d v="2026-09-03T00:00:00"/>
    <s v="Moacir Costa Neto"/>
    <d v="2026-08-13T00:00:00"/>
    <s v="Gabriella Amorim Domingo"/>
    <n v="100"/>
    <n v="100"/>
    <n v="100"/>
    <s v=""/>
    <m/>
    <s v=""/>
    <x v="6"/>
    <n v="232"/>
    <x v="0"/>
    <x v="1"/>
    <x v="0"/>
    <x v="1"/>
    <n v="87"/>
    <x v="1"/>
  </r>
  <r>
    <s v="291"/>
    <s v="Visita Domo de Ferro"/>
    <x v="2"/>
    <x v="0"/>
    <d v="2026-02-01T00:00:00"/>
    <s v="Monike Chaves"/>
    <s v="Finalizada"/>
    <x v="1"/>
    <s v="Prefeitura de Deodápolis"/>
    <s v=""/>
    <s v=""/>
    <x v="0"/>
    <x v="36"/>
    <x v="0"/>
    <s v="Deodápolis"/>
    <s v="Agenda de Campo - Projeto Integrar"/>
    <d v="2026-05-18T00:00:00"/>
    <s v="O conjunto DEODÁPOLIS teve uma melhoria de 16% no DEC global cheio percebido pela população."/>
    <m/>
    <m/>
    <m/>
    <m/>
    <m/>
    <s v="Diego Souza Silva"/>
    <s v=""/>
    <s v="Prefeitura e Câmara: Prefeito Jean, Assessor Orlindo."/>
    <s v="Diego Souza Silva, Emerson Seixas Costa, Thiago de Alvarenga Balbio"/>
    <s v="Não"/>
    <s v="Visita Domo de Ferro"/>
    <d v="2026-09-03T00:00:00"/>
    <s v="Moacir Costa Neto"/>
    <d v="2026-05-18T00:00:00"/>
    <s v="Danila Hertal Moreira Souza"/>
    <n v="100"/>
    <n v="100"/>
    <n v="50"/>
    <s v=""/>
    <m/>
    <s v=""/>
    <x v="6"/>
    <n v="232"/>
    <x v="0"/>
    <x v="1"/>
    <x v="0"/>
    <x v="1"/>
    <n v="126"/>
    <x v="1"/>
  </r>
  <r>
    <s v="292"/>
    <s v="Visita Domo de Ferro"/>
    <x v="4"/>
    <x v="3"/>
    <d v="2026-02-10T00:00:00"/>
    <s v="Availdo Taveira de Oliveira"/>
    <s v="Finalizada"/>
    <x v="1"/>
    <s v=""/>
    <s v=""/>
    <s v=""/>
    <x v="1"/>
    <x v="37"/>
    <x v="0"/>
    <s v="Jaraguari"/>
    <s v="Agenda de Campo - Projeto Integrar._x000a__x000a_Card finalizado agenda em campo - Projeto Integrar - sem documentos em anexo e ou ações para direcionamentos."/>
    <d v="2026-08-04T00:00:00"/>
    <s v="Agenda de Campo - Projeto Integrar._x000a_Informação. Sem documentos em anexo e ou ações para direcionamentos."/>
    <d v="2026-08-04T00:00:00"/>
    <m/>
    <m/>
    <m/>
    <d v="2026-08-04T00:00:00"/>
    <s v="Wander Idalino Machado"/>
    <s v="Wander Machado"/>
    <s v="Sem informações"/>
    <s v="Alex Almeida Leite"/>
    <s v="Não"/>
    <s v="Visita Domo de Ferro"/>
    <d v="2026-09-03T00:00:00"/>
    <s v="Moacir Costa Neto"/>
    <d v="2026-08-04T00:00:00"/>
    <s v="Wander Idalino Machado"/>
    <n v="100"/>
    <n v="100"/>
    <n v="100"/>
    <s v=""/>
    <m/>
    <s v=""/>
    <x v="8"/>
    <n v="223"/>
    <x v="0"/>
    <x v="1"/>
    <x v="0"/>
    <x v="1"/>
    <n v="0"/>
    <x v="5"/>
  </r>
  <r>
    <s v="295"/>
    <s v="Visita Domo de Ferro"/>
    <x v="5"/>
    <x v="0"/>
    <d v="2025-11-21T00:00:00"/>
    <s v="Giovani Moura Sousa"/>
    <s v="Finalizada"/>
    <x v="1"/>
    <s v=""/>
    <s v=""/>
    <s v=""/>
    <x v="1"/>
    <x v="32"/>
    <x v="0"/>
    <s v="Sidrolândia"/>
    <s v="Manutenção e Poda de árvores. Poda de árvore no Assentamento Eldorado II"/>
    <d v="2026-05-18T00:00:00"/>
    <s v="Qual atualização dessa solicitação de poda?"/>
    <d v="2026-09-01T00:00:00"/>
    <s v="Para análise é necessário fornecer o número de unidade(s) consumidora(s) para que seja possível realizar a análise dos principais ofensores ao longo do circuito que atende os trechos impactados."/>
    <m/>
    <m/>
    <d v="2026-09-01T00:00:00"/>
    <s v="Evair Rogerio da Conceicao"/>
    <s v="Wander Machado"/>
    <m/>
    <s v="Giovani Moura Sousa"/>
    <s v="Não"/>
    <s v="Visita Domo de Ferro"/>
    <d v="2026-09-03T00:00:00"/>
    <s v="Moacir Costa Neto"/>
    <d v="2026-09-01T00:00:00"/>
    <s v="Wander Idalino Machado"/>
    <n v="100"/>
    <n v="100"/>
    <n v="100"/>
    <s v=""/>
    <m/>
    <s v=""/>
    <x v="8"/>
    <n v="304"/>
    <x v="0"/>
    <x v="1"/>
    <x v="0"/>
    <x v="0"/>
    <n v="106"/>
    <x v="3"/>
  </r>
  <r>
    <s v="296"/>
    <s v="Visita Domo de Ferro"/>
    <x v="1"/>
    <x v="0"/>
    <d v="2026-04-27T01:00:00"/>
    <s v="Giovani Moura Sousa"/>
    <s v="Finalizada"/>
    <x v="1"/>
    <s v=""/>
    <s v="3467507"/>
    <s v="0102502363"/>
    <x v="1"/>
    <x v="11"/>
    <x v="0"/>
    <s v="Ribas do Rio Pardo"/>
    <s v="Reunião Institucional. PE 4828224 - Conexão GD UC 3467507 // LIGAÇÃO PROGRAMADA PARA ATENDIMENTO 12/08. DUPLICADO COM O ID 148"/>
    <d v="2026-05-18T00:00:00"/>
    <s v="PE 4828224 - Conexão GD UC 3467507. Investimentos de ampliação de potência na subestação. Obra 0102502363. Aprovado pelo cliente 29/04. Pz 365 dias, data limite 29/04/2026. Tem programação da obra?"/>
    <d v="2026-07-15T00:00:00"/>
    <m/>
    <d v="2026-04-29T00:00:00"/>
    <d v="2026-07-13T00:00:00"/>
    <m/>
    <s v="Felipe Souza do Nascimento"/>
    <s v="Amanda Santos"/>
    <m/>
    <s v="Giovani Moura Sousa"/>
    <s v="Não"/>
    <s v="Visita Domo de Ferro"/>
    <d v="2026-09-03T00:00:00"/>
    <s v="Moacir Costa Neto"/>
    <d v="2026-07-15T00:00:00"/>
    <s v="Amanda Aparecida Teixeira dos Santos"/>
    <n v="100"/>
    <n v="100"/>
    <n v="100"/>
    <s v=""/>
    <m/>
    <s v=""/>
    <x v="8"/>
    <n v="146.95833333333576"/>
    <x v="0"/>
    <x v="0"/>
    <x v="0"/>
    <x v="0"/>
    <n v="58"/>
    <x v="0"/>
  </r>
  <r>
    <s v="296"/>
    <s v="Visita Domo de Ferro"/>
    <x v="1"/>
    <x v="1"/>
    <d v="2026-04-27T01:00:00"/>
    <s v="Giovani Moura Sousa"/>
    <s v="Finalizada"/>
    <x v="1"/>
    <s v=""/>
    <s v="3467507"/>
    <s v="0102502363"/>
    <x v="1"/>
    <x v="11"/>
    <x v="0"/>
    <s v="Ribas do Rio Pardo"/>
    <s v="Reunião Institucional. PE 4828224 - Conexão GD UC 3467507 // LIGAÇÃO PROGRAMADA PARA ATENDIMENTO 12/08. DUPLICADO COM O ID 148"/>
    <d v="2026-08-04T00:00:00"/>
    <s v="Obra: 010-25-02363 conclusão física._x000a_Por favor, verificar possibilidade de solicitar agilização no atendimento das ordens de serviço 554055369 (vistoriar padrão GA) e 554055365 (Ligação Nova com Instalação de Medidor GA)."/>
    <d v="2026-08-18T00:00:00"/>
    <m/>
    <m/>
    <m/>
    <d v="2026-08-18T00:00:00"/>
    <s v="Marcelly Arce Avalo Franca"/>
    <s v="Bruna Santos"/>
    <m/>
    <s v="Giovani Moura Sousa"/>
    <s v="Não"/>
    <s v="Visita Domo de Ferro"/>
    <d v="2026-09-03T00:00:00"/>
    <s v="Moacir Costa Neto"/>
    <d v="2026-08-18T00:00:00"/>
    <s v="Bruna Fabiana Braguin dos Santos"/>
    <n v="100"/>
    <n v="100"/>
    <n v="100"/>
    <s v=""/>
    <m/>
    <s v=""/>
    <x v="8"/>
    <n v="146.95833333333576"/>
    <x v="0"/>
    <x v="1"/>
    <x v="0"/>
    <x v="0"/>
    <n v="14"/>
    <x v="1"/>
  </r>
  <r>
    <s v="297"/>
    <s v="Visita Domo de Ferro"/>
    <x v="4"/>
    <x v="6"/>
    <d v="2025-11-21T00:00:00"/>
    <s v="Giovani Moura Sousa"/>
    <s v="Finalizada"/>
    <x v="1"/>
    <s v="Prefeitura de Nova Alvorada do Sul"/>
    <s v=""/>
    <s v=""/>
    <x v="0"/>
    <x v="38"/>
    <x v="0"/>
    <s v="Nova Alvorada do Sul"/>
    <s v="Reunião Institucional. Reunião realizada na prefeitura de Nova Alvorada do Sul"/>
    <d v="2026-05-18T00:00:00"/>
    <s v="Investimentos de ampliação de potência na subestação."/>
    <m/>
    <m/>
    <m/>
    <m/>
    <m/>
    <s v="Giovani Moura Sousa"/>
    <s v=""/>
    <m/>
    <s v="Giovani Moura Sousa"/>
    <s v="Não"/>
    <s v="Visita Domo de Ferro"/>
    <d v="2026-08-15T00:00:00"/>
    <s v="Moacir Costa Neto"/>
    <d v="2026-05-18T00:00:00"/>
    <s v="Danila Hertal Moreira Souza"/>
    <n v="100"/>
    <n v="100"/>
    <n v="50"/>
    <s v=""/>
    <m/>
    <s v=""/>
    <x v="1"/>
    <n v="304"/>
    <x v="0"/>
    <x v="1"/>
    <x v="0"/>
    <x v="0"/>
    <n v="126"/>
    <x v="7"/>
  </r>
  <r>
    <s v="297"/>
    <s v="Visita Domo de Ferro"/>
    <x v="5"/>
    <x v="0"/>
    <d v="2025-11-21T00:00:00"/>
    <s v="Giovani Moura Sousa"/>
    <s v="Finalizada"/>
    <x v="1"/>
    <s v=""/>
    <s v=""/>
    <s v=""/>
    <x v="0"/>
    <x v="38"/>
    <x v="0"/>
    <s v="Nova Alvorada do Sul"/>
    <s v="Reunião Institucional. Reunião realizada na prefeitura de Nova Alvorada do Sul"/>
    <d v="2026-05-18T00:00:00"/>
    <s v="Podas de árvores no trecho da BR 163 localizada entre Nova Alvorada do Sul e a Ponte seca."/>
    <d v="2026-09-01T00:00:00"/>
    <s v="Para que seja possível realizar os estudos e possíveis intervenções é necessário disponibilizar maiores informações, tais como, nº de unidade(s) consumidora(s)."/>
    <m/>
    <m/>
    <d v="2026-09-01T00:00:00"/>
    <s v="Evair Rogerio da Conceicao"/>
    <s v="Wander Machado"/>
    <m/>
    <s v="Giovani Moura Sousa"/>
    <s v="Não"/>
    <s v="Visita Domo de Ferro"/>
    <d v="2026-09-01T00:00:00"/>
    <s v="Wander Idalino Machado"/>
    <d v="2026-09-01T00:00:00"/>
    <s v="Wander Idalino Machado"/>
    <n v="100"/>
    <n v="100"/>
    <n v="100"/>
    <s v=""/>
    <m/>
    <s v=""/>
    <x v="1"/>
    <n v="304"/>
    <x v="0"/>
    <x v="1"/>
    <x v="0"/>
    <x v="0"/>
    <n v="106"/>
    <x v="1"/>
  </r>
  <r>
    <s v="298"/>
    <s v="Visita Domo de Ferro"/>
    <x v="1"/>
    <x v="3"/>
    <d v="2025-11-21T00:00:00"/>
    <s v="Giovani Moura Sousa"/>
    <s v="Finalizada"/>
    <x v="1"/>
    <s v="Prefeitura de Inocência"/>
    <s v=""/>
    <s v=""/>
    <x v="1"/>
    <x v="24"/>
    <x v="0"/>
    <s v="Inocência"/>
    <s v="Reunião Institucional"/>
    <d v="2026-05-18T00:00:00"/>
    <s v="Indicação de transferência do colaborador Jeferson Paulista de Paranaíba para Inocência"/>
    <m/>
    <m/>
    <m/>
    <m/>
    <m/>
    <s v="Bruna Braga de Queiroz"/>
    <s v=""/>
    <m/>
    <s v="Giovani Moura Sousa"/>
    <s v="Não"/>
    <s v="Visita Domo de Ferro"/>
    <d v="2026-09-03T00:00:00"/>
    <s v="Moacir Costa Neto"/>
    <d v="2026-05-18T00:00:00"/>
    <s v="Danila Hertal Moreira Souza"/>
    <n v="100"/>
    <n v="100"/>
    <n v="50"/>
    <s v=""/>
    <m/>
    <s v=""/>
    <x v="11"/>
    <n v="304"/>
    <x v="0"/>
    <x v="1"/>
    <x v="0"/>
    <x v="0"/>
    <n v="126"/>
    <x v="4"/>
  </r>
  <r>
    <s v="298"/>
    <s v="Visita Domo de Ferro"/>
    <x v="1"/>
    <x v="0"/>
    <d v="2025-11-21T00:00:00"/>
    <s v="Giovani Moura Sousa"/>
    <s v="Finalizada"/>
    <x v="1"/>
    <s v="Prefeitura de Inocência"/>
    <s v=""/>
    <s v=""/>
    <x v="1"/>
    <x v="24"/>
    <x v="0"/>
    <s v="Inocência"/>
    <s v="Reunião Institucional"/>
    <d v="2026-05-18T00:00:00"/>
    <s v="1 - Agilizar PE 9783825. STATUS:CONCLUIDO"/>
    <d v="2026-06-22T00:00:00"/>
    <m/>
    <d v="2026-03-31T00:00:00"/>
    <m/>
    <d v="2026-03-30T00:00:00"/>
    <s v="Bruna Victoria Rodrigues Ricardes"/>
    <s v="Rafaela Almeida"/>
    <m/>
    <s v="Giovani Moura Sousa"/>
    <s v="Não"/>
    <s v="Visita Domo de Ferro"/>
    <d v="2026-09-03T00:00:00"/>
    <s v="Moacir Costa Neto"/>
    <d v="2026-06-22T00:00:00"/>
    <s v="Rafaela Mattos de Almeida"/>
    <n v="100"/>
    <n v="100"/>
    <n v="100"/>
    <s v=""/>
    <m/>
    <s v=""/>
    <x v="11"/>
    <n v="304"/>
    <x v="0"/>
    <x v="1"/>
    <x v="0"/>
    <x v="0"/>
    <n v="35"/>
    <x v="4"/>
  </r>
  <r>
    <s v="298"/>
    <s v="Visita Domo de Ferro"/>
    <x v="1"/>
    <x v="2"/>
    <d v="2025-11-21T00:00:00"/>
    <s v="Giovani Moura Sousa"/>
    <s v="Finalizada"/>
    <x v="2"/>
    <s v="Prefeitura de Inocência"/>
    <s v=""/>
    <s v=""/>
    <x v="1"/>
    <x v="24"/>
    <x v="0"/>
    <s v="Inocência"/>
    <s v="Reunião Institucional"/>
    <d v="2026-05-18T00:00:00"/>
    <s v="1 - Religamentos no município todo dia das 18 as 20hrs. STATUS: PENDENTE_x000a_2 - Quedas de energia na R: Pernambuco em frente ao Mercado M &amp; M, casa da vereadora Joceana. STATUS: PENDENTE_x000a_3 - Manutenção na rede que atende a UC 2496509. STATUS:_x000a_4 - Fabrica de gelo com oscilação e queima de equipamentos, trecho TD 734803."/>
    <m/>
    <m/>
    <m/>
    <m/>
    <m/>
    <s v="Luan Henrique Soares Diniz Afonso"/>
    <s v=""/>
    <m/>
    <s v="Giovani Moura Sousa"/>
    <s v="Não"/>
    <s v="Visita Domo de Ferro"/>
    <d v="2026-09-03T00:00:00"/>
    <s v="Moacir Costa Neto"/>
    <d v="2026-05-18T00:00:00"/>
    <s v="Danila Hertal Moreira Souza"/>
    <n v="100"/>
    <n v="100"/>
    <n v="50"/>
    <s v=""/>
    <m/>
    <s v=""/>
    <x v="11"/>
    <n v="304"/>
    <x v="0"/>
    <x v="1"/>
    <x v="0"/>
    <x v="0"/>
    <n v="126"/>
    <x v="2"/>
  </r>
  <r>
    <s v="299"/>
    <s v="Visita Domo de Ferro"/>
    <x v="2"/>
    <x v="2"/>
    <d v="2025-11-21T00:00:00"/>
    <s v="Dian Cleiton de Brito"/>
    <s v="Finalizada"/>
    <x v="1"/>
    <s v=""/>
    <s v=""/>
    <s v=""/>
    <x v="1"/>
    <x v="31"/>
    <x v="0"/>
    <s v="Terenos"/>
    <s v="Reunião na prefeitura de Terenos."/>
    <d v="2026-05-18T00:00:00"/>
    <s v="1 - Faltas de Energia frequentes no Jd. América_x000a_2 - Oscilações e necessidade de aumento de carga no Assentamento Sta Mônica TD(24405) ENTF567312_x000a_3 - Oscilações e faltas de Energia no Assentamento 7 de Setembro e Ouro Branc"/>
    <d v="2026-08-18T00:00:00"/>
    <m/>
    <m/>
    <m/>
    <d v="2026-08-18T00:00:00"/>
    <s v="Luan Henrique Soares Diniz Afonso"/>
    <s v="Bruna Santos"/>
    <m/>
    <s v="Dian Cleiton de Brito"/>
    <s v="Não"/>
    <s v="Visita Domo de Ferro"/>
    <d v="2026-08-18T00:00:00"/>
    <s v="Bruna Fabiana Braguin dos Santos"/>
    <d v="2026-08-18T00:00:00"/>
    <s v="Bruna Fabiana Braguin dos Santos"/>
    <n v="100"/>
    <n v="100"/>
    <n v="100"/>
    <s v=""/>
    <m/>
    <s v=""/>
    <x v="8"/>
    <n v="304"/>
    <x v="0"/>
    <x v="1"/>
    <x v="0"/>
    <x v="0"/>
    <n v="92"/>
    <x v="2"/>
  </r>
  <r>
    <s v="331"/>
    <s v="Visita Domo de Ferro"/>
    <x v="1"/>
    <x v="0"/>
    <d v="2026-05-22T00:00:00"/>
    <s v="Dian Cleiton de Brito"/>
    <s v="Finalizada"/>
    <x v="1"/>
    <s v=""/>
    <s v=""/>
    <s v=""/>
    <x v="1"/>
    <x v="7"/>
    <x v="0"/>
    <s v="Campo Grande"/>
    <s v="ligação de Grupo A - UC LIGADA EM 07/08"/>
    <d v="2026-05-22T00:00:00"/>
    <s v="agilizar OS 877"/>
    <d v="2026-07-01T00:00:00"/>
    <s v="ORÇAMENTO ENVIADO AO CLIENTE DIA 12/06/2026. AGUARDANDO ACEITE"/>
    <m/>
    <m/>
    <m/>
    <s v="Bruna Victoria Rodrigues Ricardes"/>
    <s v="Mariana Nakada"/>
    <m/>
    <s v=""/>
    <s v="Não"/>
    <s v="Visita Domo de Ferro"/>
    <d v="2026-09-03T00:00:00"/>
    <s v="Moacir Costa Neto"/>
    <d v="2026-07-01T00:00:00"/>
    <s v="Mariana Kenu Shimizu Nakada"/>
    <n v="100"/>
    <n v="100"/>
    <n v="100"/>
    <s v=""/>
    <m/>
    <s v=""/>
    <x v="5"/>
    <n v="122"/>
    <x v="0"/>
    <x v="1"/>
    <x v="0"/>
    <x v="0"/>
    <n v="40"/>
    <x v="4"/>
  </r>
  <r>
    <s v="331"/>
    <s v="Visita Domo de Ferro"/>
    <x v="1"/>
    <x v="1"/>
    <d v="2026-05-22T00:00:00"/>
    <s v="Dian Cleiton de Brito"/>
    <s v="Finalizada"/>
    <x v="1"/>
    <s v=""/>
    <s v=""/>
    <s v="0102601081"/>
    <x v="1"/>
    <x v="7"/>
    <x v="0"/>
    <s v="Campo Grande"/>
    <s v="ligação de Grupo A - UC LIGADA EM 07/08"/>
    <d v="2026-08-07T00:00:00"/>
    <s v="Ligação Grupo A._x000a_Identificado que a obra 0102601081 está concluída._x000a_Por favor verificar possibilidade de solicitar agilidade no atendimento das ordens de serviço 555612698 e 555612712 - vistoria e ligação Grupo A."/>
    <d v="2026-08-12T00:00:00"/>
    <s v="ESCOLA LIGADA DIA 07/08"/>
    <m/>
    <m/>
    <d v="2026-08-07T00:00:00"/>
    <s v="Marcelly Arce Avalo Franca"/>
    <s v="Bruna Santos"/>
    <m/>
    <s v=""/>
    <s v="Não"/>
    <s v="Visita Domo de Ferro"/>
    <d v="2026-09-03T00:00:00"/>
    <s v="Moacir Costa Neto"/>
    <d v="2026-08-12T00:00:00"/>
    <s v="Bruna Fabiana Braguin dos Santos"/>
    <n v="100"/>
    <n v="100"/>
    <n v="100"/>
    <s v=""/>
    <m/>
    <s v=""/>
    <x v="5"/>
    <n v="122"/>
    <x v="0"/>
    <x v="1"/>
    <x v="0"/>
    <x v="0"/>
    <n v="5"/>
    <x v="1"/>
  </r>
  <r>
    <s v="332"/>
    <s v="Visita Domo de Ferro"/>
    <x v="3"/>
    <x v="0"/>
    <d v="2026-02-27T00:00:00"/>
    <s v="Monike Chaves"/>
    <s v="Em Andamento"/>
    <x v="2"/>
    <s v="Prefeitura de Batayorã"/>
    <s v="197686"/>
    <s v=""/>
    <x v="0"/>
    <x v="28"/>
    <x v="0"/>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9-08T00:00:00"/>
    <s v="Devido á analise da performance da qualidade do fornecimento para a região, e identificado os principais trechos ofensores da qualidade percebida pelo cliente, há necessidade de atuação da manutenção nos blocos abaixo: FR(17834), FR(17964), RD(745462), FU(18087),_x000a_FR(18051)."/>
    <m/>
    <m/>
    <m/>
    <m/>
    <m/>
    <s v="Evair Rogerio da Conceicao"/>
    <s v=""/>
    <s v="Prefeito _x000a_Vice Prefeito_x000a_Energisa_x000a_Secretário de Obras"/>
    <s v="Diego Souza Silva, Emerson Seixas Costa"/>
    <s v="Não"/>
    <s v="Visita Domo de Ferro"/>
    <d v="2026-09-08T00:00:00"/>
    <s v="Wander Idalino Machado"/>
    <d v="2026-09-08T00:00:00"/>
    <s v="Wander Idalino Machado"/>
    <n v="100"/>
    <n v="100"/>
    <n v="50"/>
    <s v="Manutenção e Poda"/>
    <m/>
    <s v="DCMD - PODA E MANUTENÇÃO"/>
    <x v="6"/>
    <n v="206"/>
    <x v="0"/>
    <x v="1"/>
    <x v="0"/>
    <x v="0"/>
    <n v="13"/>
    <x v="3"/>
  </r>
  <r>
    <s v="332"/>
    <s v="Visita Domo de Ferro"/>
    <x v="2"/>
    <x v="0"/>
    <d v="2026-02-27T00:00:00"/>
    <s v="Monike Chaves"/>
    <s v="Em Andamento"/>
    <x v="2"/>
    <s v="Prefeitura de Batayorã"/>
    <s v="197686"/>
    <s v=""/>
    <x v="0"/>
    <x v="28"/>
    <x v="0"/>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8-03T00:00:00"/>
    <s v="Devido á analise da performance da qualidade do fornecimento para a região, e identificado os principais trechos ofensores da qualidade percebida pelo cliente, há necessidade de atuação da manutenção nos blocos abaixo:_x000a_FR(17834)_x000a_FR(17964)_x000a_RD(745462)_x000a_FU(18087)_x000a_FR(18051)"/>
    <m/>
    <m/>
    <m/>
    <m/>
    <m/>
    <s v="Evair Rogerio da Conceicao"/>
    <s v=""/>
    <s v="Prefeito _x000a_Vice Prefeito_x000a_Energisa_x000a_Secretário de Obras"/>
    <s v="Diego Souza Silva, Emerson Seixas Costa"/>
    <s v="Não"/>
    <s v="Visita Domo de Ferro"/>
    <d v="2026-09-01T00:00:00"/>
    <s v="Moacir Costa Neto"/>
    <d v="2026-08-03T00:00:00"/>
    <s v="Wander Idalino Machado"/>
    <n v="100"/>
    <n v="100"/>
    <n v="50"/>
    <s v=""/>
    <m/>
    <s v=""/>
    <x v="6"/>
    <n v="206"/>
    <x v="0"/>
    <x v="1"/>
    <x v="0"/>
    <x v="0"/>
    <n v="49"/>
    <x v="3"/>
  </r>
  <r>
    <s v="332"/>
    <s v="Visita Domo de Ferro"/>
    <x v="2"/>
    <x v="2"/>
    <d v="2026-02-27T00:00:00"/>
    <s v="Monike Chaves"/>
    <s v="Em Andamento"/>
    <x v="1"/>
    <s v="Prefeitura de Batayorã"/>
    <s v="197686"/>
    <s v=""/>
    <x v="0"/>
    <x v="28"/>
    <x v="0"/>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6-02T00:00:00"/>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6-18T00:00:00"/>
    <s v="=&gt; Devido á analise da performance da qualidade do fornecimento para a região, e identificado os principais trechos ofensores da qualidade percebida pelo cliente, há necessidade de atuação da manutenção nos blocos abaixo:_x000a_FR(17834)_x000a_FR(17964)_x000a_RD(745462)_x000a_FU(18087)_x000a_FR(18051)"/>
    <m/>
    <m/>
    <m/>
    <s v="Gerson Mendes Ortiz"/>
    <s v="Gerson Ortiz"/>
    <s v="Prefeito _x000a_Vice Prefeito_x000a_Energisa_x000a_Secretário de Obras"/>
    <s v="Diego Souza Silva, Emerson Seixas Costa"/>
    <s v="Não"/>
    <s v="Visita Domo de Ferro"/>
    <d v="2026-09-01T00:00:00"/>
    <s v="Moacir Costa Neto"/>
    <d v="2026-06-18T00:00:00"/>
    <s v="Gerson Mendes Ortiz"/>
    <n v="100"/>
    <n v="100"/>
    <n v="94"/>
    <s v=""/>
    <m/>
    <s v=""/>
    <x v="6"/>
    <n v="206"/>
    <x v="0"/>
    <x v="1"/>
    <x v="0"/>
    <x v="0"/>
    <n v="16"/>
    <x v="2"/>
  </r>
  <r>
    <s v="332"/>
    <s v="Visita Domo de Ferro"/>
    <x v="2"/>
    <x v="4"/>
    <d v="2026-02-27T00:00:00"/>
    <s v="Monike Chaves"/>
    <s v="Em Andamento"/>
    <x v="1"/>
    <s v=""/>
    <s v="197686"/>
    <s v=""/>
    <x v="0"/>
    <x v="28"/>
    <x v="0"/>
    <s v="Batayporã"/>
    <s v="Prefeito Germino, informou que esteve com Presidente Paulo, para falar sobre qualidade de serviços prestados e na demora do restabelecimento principalmente em áreas rurais. _x000a_Ele não concordou com  o orçamento enviado para relocação do poste, que estavam colcoando cabo protegido e a rede era cabo nu, que não arcaria com custo uma vez a energisa, tomando a iniciativa de melhorar o cabeamento, orçamento foi corrigido e enviado o nova ele."/>
    <d v="2026-08-03T00:00:00"/>
    <m/>
    <d v="2026-08-28T00:00:00"/>
    <s v="Sem informações."/>
    <m/>
    <m/>
    <d v="2026-08-28T00:00:00"/>
    <s v="Vazio"/>
    <s v="Wander Machado"/>
    <s v="Prefeito _x000a_Vice Prefeito_x000a_Energisa_x000a_Secretário de Obras"/>
    <s v="Diego Souza Silva, Emerson Seixas Costa"/>
    <s v="Não"/>
    <s v="Visita Domo de Ferro"/>
    <d v="2026-09-01T00:00:00"/>
    <s v="Moacir Costa Neto"/>
    <d v="2026-08-28T00:00:00"/>
    <s v="Wander Idalino Machado"/>
    <n v="100"/>
    <n v="100"/>
    <n v="100"/>
    <s v=""/>
    <m/>
    <s v=""/>
    <x v="6"/>
    <n v="206"/>
    <x v="0"/>
    <x v="1"/>
    <x v="0"/>
    <x v="0"/>
    <n v="25"/>
    <x v="5"/>
  </r>
  <r>
    <s v="333"/>
    <s v="Visita Domo de Ferro"/>
    <x v="4"/>
    <x v="1"/>
    <d v="2026-02-25T00:00:00"/>
    <s v="Monike Chaves"/>
    <s v="Finalizada"/>
    <x v="1"/>
    <s v="Prefeitura de Taquarussu"/>
    <s v="264979"/>
    <s v=""/>
    <x v="3"/>
    <x v="39"/>
    <x v="0"/>
    <s v=""/>
    <s v="Prefeito informou que tem um bom relacionamento, que sempre está sendo informado sobre as quedas de energia, que muitas vezes ele nem no municipio está, mas é informado e vê que a comunicação está mais fluída. _x000a_Falamos sobre podas no municipio e convenio, sobre palmeiras imperial plantada perto a nossa rede, o qual no final de semana culminou a falta de energia do municpio. _x000a_Ele cometou sobre a extensão de IP e o portal que está fazendo no municipio. E que iria protocolar o pedido de relocação e extensão."/>
    <d v="2026-06-02T00:00:00"/>
    <s v="Prefeito informou que tem um bom relacionamento, que sempre está sendo informado sobre as quedas de energia, que muitas vezes ele nem no municipio está, mas é informado e vê que a comunicação está mais fluída. _x000a_Falamos sobre podas no municipio e convenio, sobre palmeiras imperial plantada perto a nossa rede, o qual no final de semana culminou a falta de energia do municpio. _x000a_Ele cometou sobre a extensão de IP e o portal que está fazendo no municipio. E que iria protocolar o pedido de relocação e extensão."/>
    <m/>
    <m/>
    <m/>
    <m/>
    <m/>
    <s v="Monike Chaves"/>
    <s v=""/>
    <s v="Prefeito_x000a_Secretário _x000a_Energisa"/>
    <s v="Diego Souza Silva, Emerson Seixas Costa"/>
    <s v="Não"/>
    <s v="Visita Domo de Ferro"/>
    <d v="2026-08-15T00:00:00"/>
    <s v="Moacir Costa Neto"/>
    <d v="2026-06-02T00:00:00"/>
    <s v="Danila Hertal Moreira Souza"/>
    <n v="100"/>
    <n v="100"/>
    <n v="50"/>
    <s v=""/>
    <m/>
    <s v=""/>
    <x v="13"/>
    <n v="208"/>
    <x v="0"/>
    <x v="1"/>
    <x v="0"/>
    <x v="0"/>
    <n v="111"/>
    <x v="1"/>
  </r>
  <r>
    <s v="452"/>
    <s v="Visita Domo de Ferro"/>
    <x v="2"/>
    <x v="0"/>
    <d v="2025-12-03T00:00:00"/>
    <s v="Giovani Moura Sousa"/>
    <s v="Finalizada"/>
    <x v="1"/>
    <s v=""/>
    <s v=""/>
    <s v=""/>
    <x v="0"/>
    <x v="13"/>
    <x v="2"/>
    <s v="Dourados"/>
    <s v="Origem Externa: Câmara Municipal de Dourados_x000a_Nome do Solicitante: Vereadora Isa Jane Marcondes_x000a_Número Ofício: 493/2025_x000a_OS: 482491329_x000a_Manifestação: Ofício relata as constantes quedas de energia nos bairros: Quarto Plano, Cachoeirinha, Cohab II, Sitioca Campina Verde, Campo Dourado e Campo Belo._x000a_Segue ofício em anexo._x000a__x000a_Domo de ferro: Foi realizado a visita in loco pelo Giovani no qual coletou as demandas relacionadas a qualidade no fornecimento: Frequentes quedas de energia nos condomínios: Porto seguro e_x000a_Porto Nique; ecoVile 1 e 2, Frequentes quedas de energia no Distrito Vila Macaúba e Frequentes quedas de energia nos bairros Quarto Plano e Água_x000a_Boa."/>
    <d v="2026-06-05T00:00:00"/>
    <s v="Origem Externa: Câmara Municipal de Dourados_x000a_Nome do Solicitante: Vereadora Isa Jane Marcondes_x000a_Número Ofício: 493/2025_x000a_OS: 482491329_x000a_Manifestação: Ofício relata as constantes quedas de energia nos bairros: Quarto Plano, Cachoeirinha, Cohab II, Sitioca Campina Verde, Campo Dourado e Campo Belo._x000a_Segue ofício em anexo._x000a__x000a_Domo de ferro: Foi realizado a visita in loco pelo Giovani no qual coletou as demandas relacionadas a qualidade no fornecimento: Frequentes quedas de energia nos condomínios: Porto seguro e_x000a_Porto Nique; ecoVile 1 e 2, Frequentes quedas de energia no Distrito Vila Macaúba e Frequentes quedas de energia nos bairros Quarto Plano e Água_x000a_Boa."/>
    <d v="2026-08-18T00:00:00"/>
    <s v="OFICIO RESPONDIDO EM 05/01"/>
    <m/>
    <m/>
    <m/>
    <s v="Volmar Junior Silva Vida"/>
    <s v="Bruna Santos"/>
    <m/>
    <s v="Giovani Moura Sousa"/>
    <s v="Não"/>
    <s v="Visita Domo de Ferro"/>
    <d v="2026-08-18T00:00:00"/>
    <s v="Bruna Fabiana Braguin dos Santos"/>
    <d v="2026-08-18T00:00:00"/>
    <s v="Bruna Fabiana Braguin dos Santos"/>
    <n v="25"/>
    <n v="25"/>
    <n v="25"/>
    <s v=""/>
    <m/>
    <s v=""/>
    <x v="10"/>
    <n v="292"/>
    <x v="0"/>
    <x v="1"/>
    <x v="0"/>
    <x v="0"/>
    <n v="74"/>
    <x v="3"/>
  </r>
  <r>
    <s v="453"/>
    <s v="Visita Domo de Ferro"/>
    <x v="2"/>
    <x v="0"/>
    <d v="2025-11-19T00:00:00"/>
    <s v="Dian Cleiton de Brito"/>
    <s v="Finalizada"/>
    <x v="1"/>
    <s v=""/>
    <s v=""/>
    <s v=""/>
    <x v="1"/>
    <x v="31"/>
    <x v="2"/>
    <s v="Terenos"/>
    <s v="Origem Externa: Câmara Terenos/MS_x000a__x000a_Nome do Solicitante: José da Silva Cipriano_x000a__x000a_Número Ofício: 177/2025_x000a__x000a_OS: 482139947_x000a__x000a_Manifestação: Ofíco que trata das interrupções de energia e medidas necessárias para um fornecimento de energia regular e de qualidade na zona rural._x000a__x000a_Segue ofício em anexo._x000a__x000a_Domo de ferro: Foi realizado visita in loco pelo Dian e foi levantado as seguintes informações relacionadas a qualidade: Faltas de Energia frequentes no Jd. América, Oscilações e faltas de Energia no Assentamento 7 de Setembro_x000a_e Ouro Branco e Oscilações e necessidade de aumento de carga no Assentamento_x000a_Sta Mônica TD(24405) ENTF567312."/>
    <d v="2026-06-05T00:00:00"/>
    <s v="Status atual: Em atuação campo (DEOP/DCMD)_x000a_Origem Externa: Câmara Terenos/MS_x000a__x000a_Nome do Solicitante: José da Silva Cipriano_x000a__x000a_Número Ofício: 177/2025_x000a__x000a_OS: 482139947_x000a__x000a_Manifestação: Ofíco que trata das interrupções de energia e medidas necessárias para um fornecimento de energia regular e de qualidade na zona rural._x000a__x000a_Segue ofício em anexo._x000a__x000a_Domo de ferro: Foi realizado visita in loco pelo Dian e foi levantado as seguintes informações relacionadas a qualidade: Faltas de Energia frequentes no Jd. América, Oscilações e faltas de Energia no Assentamento 7 de Setembro_x000a_e Ouro Branco e Oscilações e necessidade de aumento de carga no Assentamento_x000a_Sta Mônica TD(24405) ENTF567312."/>
    <d v="2026-08-18T00:00:00"/>
    <m/>
    <m/>
    <m/>
    <m/>
    <s v="Volmar Junior Silva Vida"/>
    <s v="Bruna Santos"/>
    <m/>
    <s v="Dian Cleiton de Brito"/>
    <s v="Não"/>
    <s v="Visita Domo de Ferro"/>
    <d v="2026-08-18T00:00:00"/>
    <s v="Bruna Fabiana Braguin dos Santos"/>
    <d v="2026-08-18T00:00:00"/>
    <s v="Bruna Fabiana Braguin dos Santos"/>
    <n v="25"/>
    <n v="25"/>
    <n v="25"/>
    <s v=""/>
    <m/>
    <s v=""/>
    <x v="8"/>
    <n v="306"/>
    <x v="0"/>
    <x v="1"/>
    <x v="0"/>
    <x v="0"/>
    <n v="74"/>
    <x v="3"/>
  </r>
  <r>
    <s v="56"/>
    <s v="Visita Domo de Ferro"/>
    <x v="1"/>
    <x v="1"/>
    <d v="2026-04-23T00:00:00"/>
    <s v="Aline da Silva Mesquita"/>
    <s v="Finalizada"/>
    <x v="0"/>
    <s v="Vandereli Oliveira Domingos"/>
    <s v="2476949"/>
    <s v=""/>
    <x v="0"/>
    <x v="18"/>
    <x v="2"/>
    <s v="Amambai"/>
    <s v="Vereadores pedem apoio com a obra para atendimento ao aumento de carga da UC 2486949, horta hidropônica de grande porte da região._x000a_apresentado o Ofício 094/2026"/>
    <d v="2026-05-12T00:00:00"/>
    <s v="Gentileza verificar conforme ofício como está o andamento da solicitação do aumento de carga. Pois na UC 2486949 informada não foi localizada solicitação de aumento de carga."/>
    <d v="2026-06-12T00:00:00"/>
    <m/>
    <m/>
    <m/>
    <m/>
    <s v="Jessika da Silva Arruda de Paula"/>
    <s v="Aline Mesquita"/>
    <s v="Vereador Darci Jose da Silva_x000a_Vereador Jota Roberto_x000a_Vereador Suzana Ulisses_x000a_Joao Pedro (Projetista)_x000a_Vandereli Oliveira Domingos (Cliente"/>
    <s v="Monike Chaves"/>
    <s v="Não"/>
    <s v="Visita Domo de Ferro"/>
    <d v="2026-09-03T00:00:00"/>
    <s v="Moacir Costa Neto"/>
    <d v="2026-06-12T00:00:00"/>
    <s v="Aline da Silva Mesquita"/>
    <n v="25"/>
    <n v="25"/>
    <n v="12.5"/>
    <s v=""/>
    <m/>
    <s v=""/>
    <x v="0"/>
    <n v="151"/>
    <x v="0"/>
    <x v="1"/>
    <x v="0"/>
    <x v="0"/>
    <n v="31"/>
    <x v="8"/>
  </r>
  <r>
    <s v="566"/>
    <s v="Visita Domo de Ferro"/>
    <x v="0"/>
    <x v="0"/>
    <d v="2026-06-11T00:00:00"/>
    <s v="Monike Chaves"/>
    <s v="Finalizada"/>
    <x v="0"/>
    <s v=""/>
    <s v=""/>
    <s v="0102503007"/>
    <x v="1"/>
    <x v="32"/>
    <x v="0"/>
    <s v="Sidrolândia"/>
    <s v="Obra: 0102503007 com prazo de 120 dias ano 2025 sem conclusão, Prefeitura entrou em contato pois já teve obito no local e precisa ser resolvido com urgência. Agradeço a informação do novo prazo, expectativa do cliente que seja dentro do mês de Junho. _x000a__x000a_Demanda gerada em duplicidade com o ID 968 - Ação 2474."/>
    <d v="2026-06-16T00:00:00"/>
    <s v="Obra: 0102503007 com prazo de 120 dias ano 2025 sem conclusão, Prefeitura entrou em contato pois já teve obito no local e precisa ser resolvido com urgência. Agradeço a informação do novo prazo, expectativa do cliente que seja dentro do mês de Junho._x000a__x000a_AMANDA, QUAL PROGRAMAÇÃO DA OBRA?"/>
    <d v="2026-09-09T00:00:00"/>
    <m/>
    <d v="2026-06-30T00:00:00"/>
    <d v="2026-09-15T00:00:00"/>
    <m/>
    <s v="Amanda Aparecida Teixeira dos Santos"/>
    <s v="Amanda Santos"/>
    <s v="Secretario de Obras"/>
    <s v="Monike Chaves"/>
    <s v="Não"/>
    <s v="Visita Domo de Ferro"/>
    <d v="2026-09-09T00:00:00"/>
    <s v="Amanda Aparecida Teixeira dos Santos"/>
    <d v="2026-09-09T00:00:00"/>
    <s v="Amanda Aparecida Teixeira dos Santos"/>
    <n v="100"/>
    <n v="100"/>
    <n v="100"/>
    <s v=""/>
    <m/>
    <s v=""/>
    <x v="8"/>
    <n v="102"/>
    <x v="0"/>
    <x v="0"/>
    <x v="0"/>
    <x v="0"/>
    <n v="85"/>
    <x v="0"/>
  </r>
  <r>
    <s v="567"/>
    <s v="Visita Domo de Ferro"/>
    <x v="4"/>
    <x v="1"/>
    <d v="2026-06-11T00:00:00"/>
    <s v="Giovani Moura Sousa"/>
    <s v="Finalizada"/>
    <x v="3"/>
    <s v="Prefeitura"/>
    <s v=""/>
    <s v=""/>
    <x v="1"/>
    <x v="11"/>
    <x v="0"/>
    <s v="Ribas do Rio Pardo"/>
    <s v="Prefeito solicitou a retirada de postes que estão fora do projeto de execução do calçamento em área urbana de Ribas do Rio Pardo._x000a__x000a_Centrl do Cliente (12/08/2026): Card concluído devido insuficiência de informações para abertura de ações (nº de obra ou número da ordem de serviço)."/>
    <d v="2026-06-16T00:00:00"/>
    <s v="Prefeito solicitou a retirada de postes que estão fora do projeto de execução do calçamento em área urbana de Ribas do Rio Pardo. Giovai qual o protocolo? ou ordem de serviço? ou ofício para que possamos identificar a solicitação?"/>
    <m/>
    <m/>
    <m/>
    <m/>
    <m/>
    <s v="Giovani Moura Sousa"/>
    <s v=""/>
    <s v="Prefeito Roberson_x000a_Bartolomeu Engenheiro refeitura_x000a_Giovani Moura - Energisa_x000a_Gustavo - DCMD Energisa"/>
    <s v="Giovani Moura Sousa"/>
    <s v="Não"/>
    <s v="Visita Domo de Ferro"/>
    <d v="2026-09-03T00:00:00"/>
    <s v="Moacir Costa Neto"/>
    <d v="2026-06-16T00:00:00"/>
    <s v="Danila Hertal Moreira Souza"/>
    <n v="100"/>
    <n v="100"/>
    <n v="50"/>
    <s v=""/>
    <m/>
    <s v=""/>
    <x v="8"/>
    <n v="102"/>
    <x v="0"/>
    <x v="1"/>
    <x v="0"/>
    <x v="0"/>
    <n v="97"/>
    <x v="7"/>
  </r>
  <r>
    <s v="567"/>
    <s v="Visita Domo de Ferro"/>
    <x v="0"/>
    <x v="1"/>
    <d v="2026-06-11T00:00:00"/>
    <s v="Giovani Moura Sousa"/>
    <s v="Finalizada"/>
    <x v="1"/>
    <s v=""/>
    <s v=""/>
    <s v=""/>
    <x v="1"/>
    <x v="11"/>
    <x v="0"/>
    <s v="Ribas do Rio Pardo"/>
    <s v="Prefeito solicitou a retirada de postes que estão fora do projeto de execução do calçamento em área urbana de Ribas do Rio Pardo._x000a__x000a_Centrl do Cliente (12/08/2026): Card concluído devido insuficiência de informações para abertura de ações (nº de obra ou número da ordem de serviço)."/>
    <d v="2026-06-25T00:00:00"/>
    <s v="Prefeito solicitou a retirada de postes que estão fora do projeto de execução do calçamento em área urbana de Ribas do Rio Pardo. Giovai qual o protocolo? ou ordem de serviço? ou ofício para que possamos identificar a solicitação? Ação foi devolvida, gentileza informar o motivo para que a central realiza as ações devidas."/>
    <d v="2026-08-12T00:00:00"/>
    <s v="Card concluído devido insuficiência de informações (nº de obra ou número da ordem de serviço)."/>
    <d v="2026-07-27T00:00:00"/>
    <m/>
    <d v="2026-08-12T00:00:00"/>
    <s v="Giovani Moura Sousa"/>
    <s v="Wander Machado"/>
    <s v="Prefeito Roberson_x000a_Bartolomeu Engenheiro refeitura_x000a_Giovani Moura - Energisa_x000a_Gustavo - DCMD Energisa"/>
    <s v="Giovani Moura Sousa"/>
    <s v="Não"/>
    <s v="Visita Domo de Ferro"/>
    <d v="2026-09-03T00:00:00"/>
    <s v="Moacir Costa Neto"/>
    <d v="2026-08-12T00:00:00"/>
    <s v="Wander Idalino Machado"/>
    <n v="100"/>
    <n v="100"/>
    <n v="100"/>
    <s v=""/>
    <m/>
    <s v=""/>
    <x v="8"/>
    <n v="102"/>
    <x v="0"/>
    <x v="0"/>
    <x v="0"/>
    <x v="0"/>
    <n v="48"/>
    <x v="7"/>
  </r>
  <r>
    <s v="622"/>
    <s v="Visita Domo de Ferro"/>
    <x v="4"/>
    <x v="3"/>
    <d v="2026-06-16T00:00:00"/>
    <s v="Dian Cleiton de Brito"/>
    <s v="Finalizada"/>
    <x v="1"/>
    <s v=""/>
    <s v=""/>
    <s v="0202600657"/>
    <x v="0"/>
    <x v="1"/>
    <x v="2"/>
    <s v="Maracaju"/>
    <s v="várias demandas do município de Maracajú._x000a__x000a_Central do cliente (07/08/2026). Em análise foi identificado que a obra 0202600657 está concluída. Conforme ordem de serviço 547531837 ligação executada em 07/07/2026 dando origem a unidade consumidora 3859270."/>
    <d v="2026-08-07T00:00:00"/>
    <s v="Em análise foi identificado que a obra 0202600657 está concluída. Conforme ordem de serviço 547531837 ligação executada em 07/07/2026 dando origem a unidade consumidora 3859270."/>
    <d v="2026-08-07T00:00:00"/>
    <m/>
    <m/>
    <m/>
    <d v="2026-08-07T00:00:00"/>
    <s v="Wander Idalino Machado"/>
    <s v="Wander Machado"/>
    <s v="Catito vereador de MS_x000a_Franciele"/>
    <s v=""/>
    <s v="Não"/>
    <s v="Visita Institucional"/>
    <d v="2026-09-03T00:00:00"/>
    <s v="Moacir Costa Neto"/>
    <d v="2026-08-07T00:00:00"/>
    <s v="Wander Idalino Machado"/>
    <n v="25"/>
    <n v="25"/>
    <n v="25"/>
    <s v=""/>
    <m/>
    <s v=""/>
    <x v="1"/>
    <n v="97"/>
    <x v="0"/>
    <x v="1"/>
    <x v="0"/>
    <x v="0"/>
    <n v="0"/>
    <x v="5"/>
  </r>
  <r>
    <s v="622"/>
    <s v="Visita Domo de Ferro"/>
    <x v="0"/>
    <x v="0"/>
    <d v="2026-06-16T00:00:00"/>
    <s v="Dian Cleiton de Brito"/>
    <s v="Finalizada"/>
    <x v="1"/>
    <s v=""/>
    <s v=""/>
    <s v=""/>
    <x v="0"/>
    <x v="1"/>
    <x v="2"/>
    <s v="Maracaju"/>
    <s v="várias demandas do município de Maracajú._x000a__x000a_Central do cliente (07/08/2026). Em análise foi identificado que a obra 0202600657 está concluída. Conforme ordem de serviço 547531837 ligação executada em 07/07/2026 dando origem a unidade consumidora 3859270."/>
    <d v="2026-06-19T00:00:00"/>
    <s v="Origem Externa: Vereador Catito_x000a_Origem Interna: DPres. Paulo_x000a_Obra: 0202600657- Kairos Participações _x000a_Fazenda Monte Cristo"/>
    <d v="2026-07-24T00:00:00"/>
    <m/>
    <d v="2027-04-22T00:00:00"/>
    <d v="2026-06-30T00:00:00"/>
    <d v="2026-06-30T00:00:00"/>
    <s v="Felipe Souza do Nascimento"/>
    <s v="Rafaela Almeida"/>
    <s v="Catito vereador de MS_x000a_Franciele"/>
    <s v=""/>
    <s v="Não"/>
    <s v="Visita Domo de Ferro"/>
    <d v="2026-09-03T00:00:00"/>
    <s v="Moacir Costa Neto"/>
    <d v="2026-07-24T00:00:00"/>
    <s v="Rafaela Mattos de Almeida"/>
    <n v="25"/>
    <n v="25"/>
    <n v="25"/>
    <s v=""/>
    <m/>
    <s v=""/>
    <x v="1"/>
    <n v="97"/>
    <x v="0"/>
    <x v="1"/>
    <x v="1"/>
    <x v="0"/>
    <n v="35"/>
    <x v="0"/>
  </r>
  <r>
    <s v="641"/>
    <s v="Visita Domo de Ferro"/>
    <x v="1"/>
    <x v="0"/>
    <d v="2026-06-08T00:00:00"/>
    <s v="Aline da Silva Mesquita"/>
    <s v="Finalizada"/>
    <x v="1"/>
    <s v=""/>
    <s v=""/>
    <s v=""/>
    <x v="0"/>
    <x v="22"/>
    <x v="0"/>
    <s v="Ponta Porã"/>
    <s v="Foi realizada reunião presencial na Prefeitura Municipal com o objetivo de estreitar o relacionamento institucional e compreender o contexto do requerimento de abertura de Comissão Parlamentar de Inquérito (CPI), proposto pela Câmara Municipal, relacionado à prestação dos serviços de distribuição de energia elétrica na região._x000a__x000a_Durante o encontro, o Prefeito relatou algumas dificuldades de contato com a Energisa. Em resposta, Guilherme Paraná reforçou o compromisso da empresa com a qualidade dos serviços prestados, destacando que a Energisa mantém canais permanentes de diálogo com os poderes públicos e permanece à disposição para avaliar e atuar nos casos que forem formalmente sinalizados._x000a__x000a_Também foram abordados temas relacionados à renovação da concessão da distribuidora e aos indicadores de desempenho da região, os quais se encontram em conformidade com os critérios e limites regulatórios estabelecidos pela ANEEL. Foi ressaltado, ainda, que eventuais ocorrências específicas poderão ser encaminhadas para análise e adoção das providências cabíveis._x000a__x000a_Aline reforçou os canais de relacionamento disponíveis à Prefeitura, destacando que Monike atua como agente de relacionamento institucional e que as demandas municipais são acompanhadas/tratadas com o Servidor Theo. _x000a__x000a_Também foi reforçada a importância da formalização do Termo de Cooperação para Poda e Manejo da Vegetação._x000a__x000a_Ao final da reunião, o Prefeito apresentou as seguintes demandas para acompanhamento e encaminhamento:_x000a__x000a_• Obra de atendimento ao loteamento – PE 0810626;_x000a_• Esclarecimentos sobre a atualização do parque de iluminação pública;_x000a_• Relocação de poste para viabilização de obra de pavimentação executada pelo Governo do Estado, no âmbito do programa MS Ativo._x000a__x000a__x000a_OS FINALIZADA COM A INFORMAÇÃO QUE NÃO PRECISA DE OBRA."/>
    <d v="2026-06-18T00:00:00"/>
    <s v="Obra de atendimento ao loteamento – PE 0810626; Gerado a OS 540343070 de orçamento, gentileza priorizar."/>
    <d v="2026-07-01T00:00:00"/>
    <s v="SEM NECESSIDADE DE OBRA."/>
    <m/>
    <m/>
    <m/>
    <s v="Bruna Victoria Rodrigues Ricardes"/>
    <s v="Mariana Nakada"/>
    <s v="Joanilson Zeferino dos Santos - Secretário de Obras e Urbanismo_x000a_Eduardo Esgaib Campos - Prefeito_x000a_Wilian Maksud"/>
    <s v="Guilherme Antonio Schio Parana"/>
    <s v="Não"/>
    <s v="Visita Domo de Ferro"/>
    <d v="2026-09-03T00:00:00"/>
    <s v="Moacir Costa Neto"/>
    <d v="2026-07-01T00:00:00"/>
    <s v="Mariana Kenu Shimizu Nakada"/>
    <n v="100"/>
    <n v="100"/>
    <n v="100"/>
    <s v=""/>
    <m/>
    <s v=""/>
    <x v="0"/>
    <n v="105"/>
    <x v="0"/>
    <x v="1"/>
    <x v="0"/>
    <x v="0"/>
    <n v="13"/>
    <x v="4"/>
  </r>
  <r>
    <s v="643"/>
    <s v="Visita Domo de Ferro"/>
    <x v="1"/>
    <x v="1"/>
    <d v="2026-06-17T00:00:00"/>
    <s v="Aline da Silva Mesquita"/>
    <s v="Finalizada"/>
    <x v="1"/>
    <s v=""/>
    <s v=""/>
    <s v=""/>
    <x v="0"/>
    <x v="22"/>
    <x v="2"/>
    <s v="Ponta Porã"/>
    <s v="Foi realizada reunião presencial na Energisa com o Vereador, ocasião em que foram apresentados os principais resultados e indicadores operacionais da região de Ponta Porã, bem como o plano de manutenção da distribuidora, os investimentos realizados e previstos, as ações recentes de poda e manutenção executadas em 28 bairros do município e o plano de contingência adotado pela concessionária._x000a__x000a_Durante o encontro, o vereador relatou demandas apresentadas por moradores do Assentamento Itamarati e do Residencial Kamel Saad, especialmente relacionadas ao valor das faturas de energia elétrica. Em resposta, foi esclarecido que consumidores que atendam aos critérios estabelecidos pelo Governo Federal podem ser beneficiados pelo Programa Tarifa Social de Energia Elétrica. Nesse sentido, foi reforçada a importância da atualização cadastral junto ao CRAS para manutenção e acesso ao benefício._x000a__x000a_Também foi abordada a necessidade de intensificar as ações de poda e manejo da vegetação, destacando-se a importância da parceria entre a Energisa e o Poder Público Municipal para a execução dessas atividades de forma coordenada._x000a__x000a_Adicionalmente, foram reforçados os canais de comunicação e relacionamento da empresa, bem como a disponibilidade da Energisa para analisar e tratar demandas específicas relacionadas às localidades mencionadas._x000a__x000a_Como encaminhamentos da reunião, ficaram definidos os seguintes pontos:_x000a__x000a_• Agendar reunião presencial na Câmara Municipal para apresentação do Supervisor Regional, do Coordenador responsável pela área e do Agente de Relacionamento Institucional;_x000a__x000a_• Avaliar e programar a realização de ação com o Caminhão da Eficiência Energética no Assentamento Itamarati e no Residencial Kamel Saad, contemplando atividades de cadastro e atualização da Tarifa Social, negociação de débitos, orientações sobre consumo consciente de energia e sorteio de geladeiras para consumidores elegíveis."/>
    <d v="2026-08-18T00:00:00"/>
    <s v="• Agendar reunião presencial na Câmara Municipal para apresentação do Supervisor Regional, do Coordenador responsável pela área e do Agente de Relacionamento Institucional;"/>
    <d v="2026-09-03T00:00:00"/>
    <s v="reuniao agendada 31/08/2026."/>
    <m/>
    <d v="2026-09-07T00:00:00"/>
    <m/>
    <s v="Monike Chaves"/>
    <s v="Gabriella Domingo"/>
    <s v="Carlos Bordão, 1º Vice-Presidente"/>
    <s v="Guilherme Antonio Schio Parana, Dian Cleiton de Brito, Giovani Moura Sousa"/>
    <s v="Não"/>
    <s v="Visita Domo de Ferro"/>
    <d v="2026-09-03T00:00:00"/>
    <s v="Gabriella Amorim Domingo"/>
    <d v="2026-09-03T00:00:00"/>
    <s v="Gabriella Amorim Domingo"/>
    <n v="25"/>
    <n v="25"/>
    <n v="25"/>
    <s v=""/>
    <m/>
    <s v=""/>
    <x v="0"/>
    <n v="96"/>
    <x v="0"/>
    <x v="1"/>
    <x v="0"/>
    <x v="0"/>
    <n v="16"/>
    <x v="1"/>
  </r>
  <r>
    <s v="665"/>
    <s v="Visita Domo de Ferro"/>
    <x v="4"/>
    <x v="1"/>
    <d v="2026-06-15T00:00:00"/>
    <s v="Dian Cleiton de Brito"/>
    <s v="Finalizada"/>
    <x v="1"/>
    <s v=""/>
    <s v=""/>
    <s v="0502600350"/>
    <x v="0"/>
    <x v="9"/>
    <x v="0"/>
    <s v="Itaquiraí"/>
    <s v="Solicita agilizar obra de atendimento a estação elevatória de esgoto, considerando necessidade de inauguração em 20/07/26;_x000a__x000a_CLIENTE LIGADO DIA 24/07."/>
    <d v="2026-07-13T00:00:00"/>
    <s v="Solicita agilizar obra de atendimento a estação elevatória de esgoto, considerando necessidade de inauguração em 20/07/26._x000a_DCMD - respondida em 11/07/2026 - Obra 0502600350 (construção - conclusão física) em 09/07/2026."/>
    <d v="2026-08-12T00:00:00"/>
    <s v="CLIENTE LIGADO DIA 24/07."/>
    <m/>
    <m/>
    <d v="2026-07-24T00:00:00"/>
    <s v="Dian Cleiton de Brito"/>
    <s v="Bruna Santos"/>
    <s v="Thalles Tomazelli - Prefeito"/>
    <s v="Dian Cleiton de Brito"/>
    <s v="Não"/>
    <s v="Visita Domo de Ferro"/>
    <d v="2026-09-03T00:00:00"/>
    <s v="Moacir Costa Neto"/>
    <d v="2026-08-12T00:00:00"/>
    <s v="Bruna Fabiana Braguin dos Santos"/>
    <n v="100"/>
    <n v="100"/>
    <n v="100"/>
    <s v=""/>
    <m/>
    <s v=""/>
    <x v="4"/>
    <n v="98"/>
    <x v="0"/>
    <x v="1"/>
    <x v="0"/>
    <x v="0"/>
    <n v="30"/>
    <x v="7"/>
  </r>
  <r>
    <s v="665"/>
    <s v="Visita Domo de Ferro"/>
    <x v="0"/>
    <x v="0"/>
    <d v="2026-06-15T00:00:00"/>
    <s v="Dian Cleiton de Brito"/>
    <s v="Finalizada"/>
    <x v="1"/>
    <s v=""/>
    <s v=""/>
    <s v="0502600350"/>
    <x v="0"/>
    <x v="9"/>
    <x v="0"/>
    <s v="Itaquiraí"/>
    <s v="Solicita agilizar obra de atendimento a estação elevatória de esgoto, considerando necessidade de inauguração em 20/07/26;_x000a__x000a_CLIENTE LIGADO DIA 24/07."/>
    <d v="2026-06-19T00:00:00"/>
    <s v="Solicita agilizar obra de atendimento a estação elevatória de esgoto, considerando necessidade de inauguração em 20/07/26;_x000a_Expectativa da obra: 16/07/26. Lançado no priorizador de obras."/>
    <d v="2026-07-11T00:00:00"/>
    <s v="obra concluida 09/07"/>
    <d v="2026-07-16T00:00:00"/>
    <d v="2026-07-09T00:00:00"/>
    <d v="2026-07-09T00:00:00"/>
    <s v="Felipe Souza do Nascimento"/>
    <s v="Amanda Santos"/>
    <s v="Thalles Tomazelli - Prefeito"/>
    <s v="Dian Cleiton de Brito"/>
    <s v="Não"/>
    <s v="Visita Domo de Ferro"/>
    <d v="2026-09-03T00:00:00"/>
    <s v="Moacir Costa Neto"/>
    <d v="2026-07-11T00:00:00"/>
    <s v="Amanda Aparecida Teixeira dos Santos"/>
    <n v="100"/>
    <n v="100"/>
    <n v="100"/>
    <s v=""/>
    <m/>
    <s v=""/>
    <x v="4"/>
    <n v="98"/>
    <x v="0"/>
    <x v="1"/>
    <x v="0"/>
    <x v="0"/>
    <n v="22"/>
    <x v="0"/>
  </r>
  <r>
    <s v="671"/>
    <s v="Visita Domo de Ferro"/>
    <x v="1"/>
    <x v="0"/>
    <d v="2026-06-18T00:00:00"/>
    <s v="Dian Cleiton de Brito"/>
    <s v="Finalizada"/>
    <x v="1"/>
    <s v=""/>
    <s v=""/>
    <s v=""/>
    <x v="0"/>
    <x v="40"/>
    <x v="3"/>
    <s v="Iguatemi"/>
    <s v="Solicita agilizar contrato solicitado em 05/06. para atender PE 19490/26 COOPERSCHUTZ COOPERATIVA AGROINDUSTRIAL  com transformador de 500 kVA_x000a__x000a_CLIENTE ATENDIDO DIA 10/07 UC  3733230 OS 549792379"/>
    <d v="2026-06-19T00:00:00"/>
    <s v="Solicita agilizar contrato solicitado em 05/06. para atender PE 19490/26 COOPERSCHUTZ COOPERATIVA AGROINDUSTRIAL  com transformador de 500 kVA._x000a_Gentileza agilizar a OS 539181731 de Orçamento para elaboração do contrato."/>
    <d v="2026-07-02T00:00:00"/>
    <s v="SEM NECESSIDADE DE OBRA - 296 IMPEDIDA E 628 GERADA (PONTO IMPORTANTE PE DO CLIENTE AINDA NÃO FOI COMISSIONADO)"/>
    <d v="2026-07-08T00:00:00"/>
    <d v="2026-07-07T00:00:00"/>
    <d v="2026-07-02T00:00:00"/>
    <s v="Bruna Victoria Rodrigues Ricardes"/>
    <s v="Mariana Nakada"/>
    <s v="Dep. Vander Loubet"/>
    <s v="Dian Cleiton de Brito"/>
    <s v="Não"/>
    <s v="Visita Domo de Ferro"/>
    <d v="2026-09-03T00:00:00"/>
    <s v="Moacir Costa Neto"/>
    <d v="2026-07-02T00:00:00"/>
    <s v="Mariana Kenu Shimizu Nakada"/>
    <n v="100"/>
    <n v="100"/>
    <n v="100"/>
    <s v=""/>
    <m/>
    <s v=""/>
    <x v="4"/>
    <n v="95"/>
    <x v="0"/>
    <x v="1"/>
    <x v="0"/>
    <x v="0"/>
    <n v="13"/>
    <x v="4"/>
  </r>
  <r>
    <s v="671"/>
    <s v="Visita Domo de Ferro"/>
    <x v="1"/>
    <x v="1"/>
    <d v="2026-06-18T00:00:00"/>
    <s v="Dian Cleiton de Brito"/>
    <s v="Finalizada"/>
    <x v="1"/>
    <s v=""/>
    <s v=""/>
    <s v=""/>
    <x v="0"/>
    <x v="40"/>
    <x v="3"/>
    <s v="Iguatemi"/>
    <s v="Solicita agilizar contrato solicitado em 05/06. para atender PE 19490/26 COOPERSCHUTZ COOPERATIVA AGROINDUSTRIAL  com transformador de 500 kVA_x000a__x000a_CLIENTE ATENDIDO DIA 10/07 UC  3733230 OS 549792379"/>
    <d v="2026-08-11T00:00:00"/>
    <s v="Por gentileza, verificar o andamento das tratativas relacionadas ao PE 19490/25. _x000a_Conforme informado em 09/07/2026 a ligação estava programada para execução em 10/07/2026."/>
    <d v="2026-08-12T00:00:00"/>
    <s v="CLIENTE ATENDIDO DIA 10/07 UC 3733230. OS AUMENTO 549792379"/>
    <m/>
    <m/>
    <d v="2026-07-10T00:00:00"/>
    <s v="Marcelly Arce Avalo Franca"/>
    <s v="Bruna Santos"/>
    <s v="Dep. Vander Loubet"/>
    <s v="Dian Cleiton de Brito"/>
    <s v="Não"/>
    <s v="Visita Domo de Ferro"/>
    <d v="2026-09-03T00:00:00"/>
    <s v="Moacir Costa Neto"/>
    <d v="2026-08-12T00:00:00"/>
    <s v="Bruna Fabiana Braguin dos Santos"/>
    <n v="100"/>
    <n v="100"/>
    <n v="100"/>
    <s v=""/>
    <m/>
    <s v=""/>
    <x v="4"/>
    <n v="95"/>
    <x v="0"/>
    <x v="1"/>
    <x v="0"/>
    <x v="0"/>
    <n v="1"/>
    <x v="1"/>
  </r>
  <r>
    <s v="672"/>
    <s v="Visita Domo de Ferro"/>
    <x v="1"/>
    <x v="0"/>
    <d v="2026-02-27T00:00:00"/>
    <s v="Monike Chaves"/>
    <s v="Finalizada"/>
    <x v="1"/>
    <s v=""/>
    <s v=""/>
    <s v="0202601135"/>
    <x v="0"/>
    <x v="1"/>
    <x v="0"/>
    <s v="Maracaju"/>
    <s v="OS 544280985_x000a__x000a__x000a_A PREFEITURA MUNICIPAL DE MARACAJU, inscrita no CNPJ 03.442.597/001-12, por meio _x000a_deste, vem respeitosamente solicitar o início das obras de IMPLANTAÇÃO E EXTENSÃO DE _x000a_FORNECIMENTO DE ENERGIA, em atendimento ao empreendimento LOTEAMENTO _x000a_FORTALEZA III, localizado no município de Maracaju/MS, objeto das matrículas de no 26830 e _x000a_26.833 do Cartório de Registro de Imóveis de Maracaju/MS, em atendimento aos 109 lotes, conforme _x000a_consta no Projeto Elétrico e croqui da locação dos postes para a extensão da rede. _x000a_O referido loteamento encontra-se em fase de construção e necessita de atendimento elétrico adequado _x000a_para viabilizar o fornecimento de energia às futuras residências, conforme as normas técnicas e _x000a_regulatórias vigentes. _x000a_Dessa forma, solicitamos a gentileza de início das obras, antes da execução do pavimento com a maior _x000a_brevidade possível."/>
    <d v="2026-08-11T00:00:00"/>
    <s v="Orçamento enviado e aprovado pelo cliente._x000a_Por favor verificar possibilidade de agilizar atendimento da Obra 020-26-01135."/>
    <d v="2026-08-13T00:00:00"/>
    <s v="A SOLICITAÇÃO DE AGILIDADE DO ORÇAMENTO JA FOI ATENDIDA, PARA AGILIDADE NA OBRA SERÁ CRIADO UM NOVO ID"/>
    <d v="2026-09-18T00:00:00"/>
    <m/>
    <d v="2026-08-13T00:00:00"/>
    <s v="Amanda Aparecida Teixeira dos Santos"/>
    <s v="Bruna Santos"/>
    <s v="Prefeito Calderan _x000a_Gerente de obras Adriana"/>
    <s v="Monike Chaves"/>
    <s v="Não"/>
    <s v="Visita Domo de Ferro"/>
    <d v="2026-09-03T00:00:00"/>
    <s v="Moacir Costa Neto"/>
    <d v="2026-08-13T00:00:00"/>
    <s v="Bruna Fabiana Braguin dos Santos"/>
    <n v="100"/>
    <n v="100"/>
    <n v="100"/>
    <s v=""/>
    <m/>
    <s v=""/>
    <x v="1"/>
    <n v="206"/>
    <x v="0"/>
    <x v="1"/>
    <x v="1"/>
    <x v="0"/>
    <n v="2"/>
    <x v="0"/>
  </r>
  <r>
    <s v="698"/>
    <s v="Visita Domo de Ferro"/>
    <x v="2"/>
    <x v="2"/>
    <d v="2026-04-01T00:00:00"/>
    <s v="Monike Chaves"/>
    <s v="Finalizada"/>
    <x v="1"/>
    <s v=""/>
    <s v="1938216"/>
    <s v=""/>
    <x v="0"/>
    <x v="41"/>
    <x v="0"/>
    <s v="Mundo Novo"/>
    <s v="Cliente com grande influência institucional - Raul (Ministério da Agricultura) problemas constantes de falta de energia."/>
    <d v="2026-06-19T00:00:00"/>
    <s v="Cliente com grande influência institucional - Raul (Ministério da Agricultura) problemas constantes de falta de energia."/>
    <d v="2026-06-29T00:00:00"/>
    <s v="Caso ja foi tratado no plano de manutenção, em analise a performance do circuito, percebemos melhoria significativa sendo a ultima interrupção com data de 27/04."/>
    <m/>
    <m/>
    <m/>
    <s v="Gerson Mendes Ortiz"/>
    <s v="Gerson Ortiz"/>
    <m/>
    <s v="Monike Chaves"/>
    <s v="Não"/>
    <s v="Visita Domo de Ferro"/>
    <d v="2026-09-03T00:00:00"/>
    <s v="Moacir Costa Neto"/>
    <d v="2026-06-29T00:00:00"/>
    <s v="Gerson Mendes Ortiz"/>
    <n v="100"/>
    <n v="100"/>
    <n v="50"/>
    <s v=""/>
    <m/>
    <s v=""/>
    <x v="4"/>
    <n v="173"/>
    <x v="0"/>
    <x v="1"/>
    <x v="0"/>
    <x v="0"/>
    <n v="10"/>
    <x v="2"/>
  </r>
  <r>
    <s v="711"/>
    <s v="Visita Domo de Ferro"/>
    <x v="2"/>
    <x v="0"/>
    <d v="2026-06-19T00:00:00"/>
    <s v="Danila Hertal Moreira Souza"/>
    <s v="Finalizada"/>
    <x v="1"/>
    <s v=""/>
    <s v="1663287"/>
    <s v=""/>
    <x v="2"/>
    <x v="29"/>
    <x v="1"/>
    <s v="Dois Irmãos do Buriti"/>
    <s v="Origem: Flavia Comunicação/DPRes Paulo._x000a_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_x000a_UC 1663287"/>
    <d v="2026-07-01T00:00:00"/>
    <s v="Origem: Flavia Comunicação/DPRes Paulo.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UC 1663287._x000a_ DEOP: Análise realizada em 25/06/2026 - Identificado oportunidade de atuação no bloco ofensor FU(10625) SET02, atende 3 clientes e possui registro de 5 interrupções esse ano."/>
    <d v="2026-08-13T00:00:00"/>
    <m/>
    <m/>
    <m/>
    <m/>
    <s v="Evair Rogerio da Conceicao"/>
    <s v="Gabriella Domingo"/>
    <m/>
    <s v="Danila Hertal Moreira Souza"/>
    <s v="Não"/>
    <s v="Visita Domo de Ferro"/>
    <d v="2026-09-03T00:00:00"/>
    <s v="Moacir Costa Neto"/>
    <d v="2026-08-13T00:00:00"/>
    <s v="Gabriella Amorim Domingo"/>
    <n v="100"/>
    <n v="100"/>
    <n v="100"/>
    <s v=""/>
    <m/>
    <s v=""/>
    <x v="7"/>
    <n v="94"/>
    <x v="0"/>
    <x v="1"/>
    <x v="0"/>
    <x v="0"/>
    <n v="43"/>
    <x v="3"/>
  </r>
  <r>
    <s v="711"/>
    <s v="Visita Domo de Ferro"/>
    <x v="2"/>
    <x v="2"/>
    <d v="2026-06-19T00:00:00"/>
    <s v="Danila Hertal Moreira Souza"/>
    <s v="Finalizada"/>
    <x v="1"/>
    <s v=""/>
    <s v="1663287"/>
    <s v=""/>
    <x v="2"/>
    <x v="29"/>
    <x v="1"/>
    <s v="Dois Irmãos do Buriti"/>
    <s v="Origem: Flavia Comunicação/DPRes Paulo._x000a_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_x000a_UC 1663287"/>
    <d v="2026-06-19T00:00:00"/>
    <s v="Gentileza realizar estudo completo._x000a_Origem: Flavia Comunicação/DPRes Paulo._x000a__x000a_Contato realizado com Sra Eliza, cunhada da Dona da Record. A mesma reclama da qualidade de fornecimento, frequentemente estão ficando sem energia se for necessário eles arcam com o custo, mas precisam urgentemente a manutenção na rede. E reclama também na demora no atendimento._x000a__x000a_UC 1663287"/>
    <d v="2026-08-12T00:00:00"/>
    <m/>
    <m/>
    <m/>
    <d v="2026-06-25T00:00:00"/>
    <s v="Gerson Mendes Ortiz"/>
    <s v="Gabriella Domingo"/>
    <m/>
    <s v="Danila Hertal Moreira Souza"/>
    <s v="Não"/>
    <s v="Visita Domo de Ferro"/>
    <d v="2026-09-03T00:00:00"/>
    <s v="Moacir Costa Neto"/>
    <d v="2026-08-12T00:00:00"/>
    <s v="Gabriella Amorim Domingo"/>
    <n v="100"/>
    <n v="100"/>
    <n v="100"/>
    <s v=""/>
    <m/>
    <s v=""/>
    <x v="7"/>
    <n v="94"/>
    <x v="0"/>
    <x v="1"/>
    <x v="0"/>
    <x v="0"/>
    <n v="54"/>
    <x v="2"/>
  </r>
  <r>
    <s v="717"/>
    <s v="Visita Domo de Ferro"/>
    <x v="3"/>
    <x v="0"/>
    <d v="2026-05-04T00:00:00"/>
    <s v="Danila Hertal Moreira Souza"/>
    <s v="Finalizada"/>
    <x v="1"/>
    <s v=""/>
    <s v="1938867"/>
    <s v=""/>
    <x v="0"/>
    <x v="1"/>
    <x v="1"/>
    <s v="Maracaju"/>
    <s v="Origem externa: Vereador Catito_x000a_Origem interna: DPres. Paulo_x000a_Manutenção de rede/Verificação de Tensão. Cliente reclama da qualidade de fornecimento e solicita verificação das condições dos cabos."/>
    <d v="2026-06-19T00:00:00"/>
    <s v="Manutenção de rede/Verificação de Tensão. Cliente reclama da qualidade de fornecimento e solicita verificação das condições dos cabos. _x000a_CENTRAL: registrar poda de árvore e verificação de tensão. Paulo solicitou direto de 7 dias (522393892). TD 21682.  Ações em andamento: 04/05: iremos recompor o trecho faltante até 18/05. O trecho principal já foi reformado. _x000a_16/06: UC estava ligado no circuito vizinho, agora trocado o barramento correto, ramal de entrada do cliente. Instalado o medidor, 7 dias uteis para ter o diagnostico"/>
    <d v="2026-08-18T00:00:00"/>
    <s v="ANALISE DE TENSÃO DENTRO DOS PADRÕES"/>
    <m/>
    <m/>
    <m/>
    <s v="Francisco Ferreira dos Santos"/>
    <s v="Bruna Santos"/>
    <m/>
    <s v="Dian Cleiton de Brito"/>
    <s v="Não"/>
    <s v="Visita Domo de Ferro"/>
    <d v="2026-08-25T00:00:00"/>
    <s v="Moacir Costa Neto"/>
    <d v="2026-08-18T00:00:00"/>
    <s v="Bruna Fabiana Braguin dos Santos"/>
    <n v="100"/>
    <n v="100"/>
    <n v="100"/>
    <s v=""/>
    <m/>
    <s v=""/>
    <x v="1"/>
    <n v="140"/>
    <x v="0"/>
    <x v="1"/>
    <x v="0"/>
    <x v="0"/>
    <n v="60"/>
    <x v="3"/>
  </r>
  <r>
    <s v="719"/>
    <s v="Visita Domo de Ferro"/>
    <x v="3"/>
    <x v="0"/>
    <d v="2026-08-11T00:00:00"/>
    <s v="Danila Hertal Moreira Souza"/>
    <s v="Finalizada"/>
    <x v="1"/>
    <s v=""/>
    <s v="3731199"/>
    <s v=""/>
    <x v="0"/>
    <x v="1"/>
    <x v="2"/>
    <s v="Maracaju"/>
    <s v="Cliente Mauro Cristianini, Manutenção de rede/Verificação de Tensão. Cliente reclama da qualidade de fornecimento e solicita verificação das condições dos cabos."/>
    <m/>
    <s v="Cliente Mauro Cristianini, Manutenção de rede/Verificação de Tensão. Cliente reclama da qualidade de fornecimento e solicita verificação das condições dos cabos. DIRETOR: Enviar para o Dir. Paulo, pois irá verificar a obra da subestação para realizar essa manutenção. TD 15494. Ações em andamento: 04/05: DCMD: Ramal do cliente foi construído um novo e foi instalado um religador na derivação do cliente que esta em etapa de comissionamento, não está funcionando por conta da master. _x000a_16/06: confirmar se a master esta funcionando"/>
    <d v="2026-08-11T00:00:00"/>
    <m/>
    <d v="2026-07-09T00:00:00"/>
    <m/>
    <d v="2026-07-09T00:00:00"/>
    <s v="Evair Rogerio da Conceicao"/>
    <s v="Wander Machado"/>
    <m/>
    <s v="Dian Cleiton de Brito"/>
    <s v="Não"/>
    <s v="Visita Domo de Ferro"/>
    <d v="2026-09-03T00:00:00"/>
    <s v="Moacir Costa Neto"/>
    <d v="2026-08-11T00:00:00"/>
    <s v="Wander Idalino Machado"/>
    <n v="25"/>
    <n v="25"/>
    <n v="25"/>
    <s v=""/>
    <m/>
    <s v=""/>
    <x v="1"/>
    <n v="41"/>
    <x v="0"/>
    <x v="1"/>
    <x v="0"/>
    <x v="0"/>
    <n v="46245"/>
    <x v="3"/>
  </r>
  <r>
    <s v="719"/>
    <s v="Visita Domo de Ferro"/>
    <x v="3"/>
    <x v="7"/>
    <d v="2026-08-11T00:00:00"/>
    <s v="Danila Hertal Moreira Souza"/>
    <s v="Finalizada"/>
    <x v="1"/>
    <s v=""/>
    <s v="3731199"/>
    <s v=""/>
    <x v="0"/>
    <x v="1"/>
    <x v="2"/>
    <s v="Maracaju"/>
    <s v="Cliente Mauro Cristianini, Manutenção de rede/Verificação de Tensão. Cliente reclama da qualidade de fornecimento e solicita verificação das condições dos cabos."/>
    <d v="2026-07-10T00:00:00"/>
    <s v="Cliente Mauro Cristianini, Manutenção de rede/Verificação de Tensão. Cliente reclama da qualidade de fornecimento e solicita verificação das condições dos cabos. DIRETOR: Enviar para o Dir. Paulo, pois irá verificar a obra da subestação para realizar essa manutenção. TD 15494. Ações em andamento: 04/05: DCMD: Ramal do cliente foi construído um novo e foi instalado um religador na derivação do cliente que esta em etapa de comissionamento, não está funcionando por conta da master. _x000a_16/06: confirmar se a master esta funcionando._x000a_DCMD (09/07/2026) - Transferir para o Time do DEMT - Trata-se de confirmar se a master esta funcionando."/>
    <d v="2026-08-13T00:00:00"/>
    <m/>
    <m/>
    <m/>
    <m/>
    <s v="Klariman Yasmin da Silva Pereira"/>
    <s v="Gabriella Domingo"/>
    <m/>
    <s v="Dian Cleiton de Brito"/>
    <s v="Não"/>
    <s v="Visita Domo de Ferro"/>
    <d v="2026-09-03T00:00:00"/>
    <s v="Moacir Costa Neto"/>
    <d v="2026-08-13T00:00:00"/>
    <s v="Gabriella Amorim Domingo"/>
    <n v="25"/>
    <n v="25"/>
    <n v="25"/>
    <s v=""/>
    <m/>
    <s v=""/>
    <x v="1"/>
    <n v="41"/>
    <x v="0"/>
    <x v="1"/>
    <x v="0"/>
    <x v="0"/>
    <n v="34"/>
    <x v="11"/>
  </r>
  <r>
    <s v="72"/>
    <s v="Visita Domo de Ferro"/>
    <x v="4"/>
    <x v="3"/>
    <d v="2026-05-04T00:00:00"/>
    <s v="Dian Cleiton de Brito"/>
    <s v="Finalizada"/>
    <x v="1"/>
    <s v=""/>
    <s v=""/>
    <s v="0252600193"/>
    <x v="2"/>
    <x v="42"/>
    <x v="3"/>
    <s v="Anastácio"/>
    <s v="Prefeitura solicita urgência Protocolo: 174368552   realocação de quatro postes de energia eléctrica situados na Rua Bom Fim  no trecho compreendido entre a Rua 18 de Marco e a Rua Para  no Bairro Afonso Paim  no Município de Anastácio   MS  tendo em vista a futura execução de obras de pavimentação asfáltica e drenagem pluvial no referido local, Obra 0252600193._x000a_Gerado em duplicidade. Atendimento realizado pelo ID 252."/>
    <d v="2026-08-04T00:00:00"/>
    <s v="Prefeitura solicita urgência Protocolo: 174368552   realocação de quatro postes de energia eléctrica situados na Rua Bom Fim  no trecho compreendido entre a Rua 18 de Marco e a Rua Para  no Bairro Afonso Paim  no Município de Anastácio   MS  tendo em vista a futura execução de obras de pavimentação asfáltica e drenagem pluvial no referido local, Obra 0252600193._x000a_Gerado em duplicidade. Atendimento realizado pelo ID 252."/>
    <d v="2026-08-04T00:00:00"/>
    <s v="Prefeitura solicita urgência Protocolo: 174368552   realocação de quatro postes de energia eléctrica situados na Rua Bom Fim  no trecho compreendido entre a Rua 18 de Marco e a Rua Para  no Bairro Afonso Paim  no Município de Anastácio   MS  tendo em vista a futura execução de obras de pavimentação asfáltica e drenagem pluvial no referido local, Obra 0252600193._x000a_Gerado em duplicidade. Atendimento realizado pelo ID 252."/>
    <m/>
    <m/>
    <d v="2026-08-04T00:00:00"/>
    <s v="Wander Idalino Machado"/>
    <s v="Wander Machado"/>
    <s v="Samer -a Assessoria da prefeitura_x000a_Barbosinha- vice governador"/>
    <s v="Dian Cleiton de Brito"/>
    <s v="Não"/>
    <s v="Visita Domo de Ferro"/>
    <d v="2026-09-03T00:00:00"/>
    <s v="Moacir Costa Neto"/>
    <d v="2026-08-04T00:00:00"/>
    <s v="Wander Idalino Machado"/>
    <n v="100"/>
    <n v="100"/>
    <n v="100"/>
    <s v=""/>
    <m/>
    <s v=""/>
    <x v="7"/>
    <n v="140"/>
    <x v="0"/>
    <x v="1"/>
    <x v="0"/>
    <x v="0"/>
    <n v="0"/>
    <x v="5"/>
  </r>
  <r>
    <s v="722"/>
    <s v="Visita Domo de Ferro"/>
    <x v="3"/>
    <x v="0"/>
    <d v="2026-05-04T00:00:00"/>
    <s v="Danila Hertal Moreira Souza"/>
    <s v="Finalizada"/>
    <x v="1"/>
    <s v=""/>
    <s v="2754488"/>
    <s v=""/>
    <x v="0"/>
    <x v="1"/>
    <x v="2"/>
    <s v="Maracaju"/>
    <s v="Manutenção da Rede - Dia 07/10  Francisco de Ddos foi até a propriedade e correu toda a rede com o proprietário, assim ficou de mandar uma equipe com drone e verificar os pontos mais críticos, e assim ficou de mandar o caminhão para realização dessas manutenções. Após as manutenções realizadas na rede agora a energia cai mais vezes ao dia e volta com 30 a 40 minutos - DIAN QUE ESTA VERIFICANDO ESTA DEMANDA"/>
    <d v="2026-06-19T00:00:00"/>
    <s v="Manutenção da Rede - Dia 07/10  Francisco de Ddos foi até a propriedade e correu toda a rede com o proprietário, assim ficou de mandar uma equipe com drone e verificar os pontos mais críticos, e assim ficou de mandar o caminhão para realização dessas manutenções. Após as manutenções realizadas na rede agora a energia cai mais vezes ao dia e volta com 30 a 40 minutos - DIAN QUE ESTA VERIFICANDO ESTA DEMANDA._x000a_ENERGISA_x000a_Verificar com o Dian/14-04: Ações em andamento: DCMD no bloco no qual o cliente é atendido foram realizadas manutenções em 13 estruturas; limpeza de 0,15km de faixa. Na última inspeção foi realizada em 14/04 e foi identificado necessidade outras manutenções (AÇÕES CONCLUÍDAS). Foram levantadas 25 oportunidades de manutenções com programação de execução para 21/05/2026. _x000a_04/05: previsão de conclusão hoje 04/05, do ramal que atende o cliente. A fonte que atende o ramal está sendo inspeção no detalhe por drone e a previsão de manutenção de acordo com os lavantamentos apontados será à partir de 11/05. _x000a_16/06 - levantamento de carga com a perdas. Pois as manutenções foram executadas e sem indicativo de problemas."/>
    <d v="2026-08-18T00:00:00"/>
    <s v="16/06 - levantamento de carga com a perdas. Pois as manutenções foram executadas e sem indicativo de problemas."/>
    <m/>
    <m/>
    <m/>
    <s v="Danila Hertal Moreira Souza"/>
    <s v="Bruna Santos"/>
    <m/>
    <s v="Danila Hertal Moreira Souza"/>
    <s v="Não"/>
    <s v="Visita Domo de Ferro"/>
    <d v="2026-08-25T00:00:00"/>
    <s v="Moacir Costa Neto"/>
    <d v="2026-08-18T00:00:00"/>
    <s v="Bruna Fabiana Braguin dos Santos"/>
    <n v="25"/>
    <n v="25"/>
    <n v="25"/>
    <s v=""/>
    <m/>
    <s v=""/>
    <x v="1"/>
    <n v="140"/>
    <x v="0"/>
    <x v="1"/>
    <x v="0"/>
    <x v="0"/>
    <n v="60"/>
    <x v="5"/>
  </r>
  <r>
    <s v="724"/>
    <s v="Visita Domo de Ferro"/>
    <x v="1"/>
    <x v="0"/>
    <d v="2026-05-04T00:00:00"/>
    <s v="Danila Hertal Moreira Souza"/>
    <s v="Finalizada"/>
    <x v="1"/>
    <s v=""/>
    <s v=""/>
    <s v="0202501568"/>
    <x v="0"/>
    <x v="1"/>
    <x v="2"/>
    <s v="Maracaju"/>
    <s v="Ligação Nova - 70% da obra do cliente concluída: falta somente instalar o medidor e cliente informou que será concluída até 20/04._x000a__x000a_CLIENTE LIGADO DIA 03/07"/>
    <d v="2026-06-30T00:00:00"/>
    <s v="Encabeçamento precisar ser executado, gentileza informar programação."/>
    <d v="2026-08-13T00:00:00"/>
    <m/>
    <m/>
    <m/>
    <m/>
    <s v="Felipe Souza do Nascimento"/>
    <s v="Gabriella Domingo"/>
    <m/>
    <s v="Danila Hertal Moreira Souza"/>
    <s v="Não"/>
    <s v="Visita Domo de Ferro"/>
    <d v="2026-09-03T00:00:00"/>
    <s v="Moacir Costa Neto"/>
    <d v="2026-08-13T00:00:00"/>
    <s v="Gabriella Amorim Domingo"/>
    <n v="25"/>
    <n v="25"/>
    <n v="25"/>
    <s v=""/>
    <m/>
    <s v=""/>
    <x v="1"/>
    <n v="140"/>
    <x v="0"/>
    <x v="1"/>
    <x v="0"/>
    <x v="0"/>
    <n v="44"/>
    <x v="0"/>
  </r>
  <r>
    <s v="724"/>
    <s v="Visita Domo de Ferro"/>
    <x v="1"/>
    <x v="1"/>
    <d v="2026-05-04T00:00:00"/>
    <s v="Danila Hertal Moreira Souza"/>
    <s v="Finalizada"/>
    <x v="1"/>
    <s v=""/>
    <s v=""/>
    <s v="0202501568"/>
    <x v="0"/>
    <x v="1"/>
    <x v="2"/>
    <s v="Maracaju"/>
    <s v="Ligação Nova - 70% da obra do cliente concluída: falta somente instalar o medidor e cliente informou que será concluída até 20/04._x000a__x000a_CLIENTE LIGADO DIA 03/07"/>
    <d v="2026-06-30T00:00:00"/>
    <s v="Obra 0202501568 PE 5038424 - liberado a ligação nº 545701569."/>
    <d v="2026-07-24T00:00:00"/>
    <m/>
    <d v="2026-07-20T00:00:00"/>
    <d v="2026-07-03T00:00:00"/>
    <d v="2026-07-03T00:00:00"/>
    <s v="Marcelly Arce Avalo Franca"/>
    <s v="Rafaela Almeida"/>
    <m/>
    <s v="Danila Hertal Moreira Souza"/>
    <s v="Não"/>
    <s v="Visita Domo de Ferro"/>
    <d v="2026-09-03T00:00:00"/>
    <s v="Moacir Costa Neto"/>
    <d v="2026-07-24T00:00:00"/>
    <s v="Rafaela Mattos de Almeida"/>
    <n v="25"/>
    <n v="25"/>
    <n v="25"/>
    <s v=""/>
    <m/>
    <s v=""/>
    <x v="1"/>
    <n v="140"/>
    <x v="0"/>
    <x v="1"/>
    <x v="0"/>
    <x v="0"/>
    <n v="24"/>
    <x v="1"/>
  </r>
  <r>
    <s v="730"/>
    <s v="Visita Domo de Ferro"/>
    <x v="1"/>
    <x v="1"/>
    <d v="2026-06-19T00:00:00"/>
    <s v="Dian Cleiton de Brito"/>
    <s v="Finalizada"/>
    <x v="1"/>
    <s v=""/>
    <s v=""/>
    <s v=""/>
    <x v="0"/>
    <x v="28"/>
    <x v="0"/>
    <s v="Batayporã"/>
    <s v="Prefeito solicita garantir ligação provisória para a festa municipal. _x000a__x000a_Protocolo 181698754_x000a__x000a_Prefeito informa que as pendencias alegadas, foram quitadas."/>
    <d v="2026-06-19T00:00:00"/>
    <s v="Prefeito solicita garantir ligação provisória para a festa municipal. _x000a_Protocolo 181698754_x000a_Prefeito informa que as pendencias alegadas, foram quitadas._x000a_Availdo, prefeito ligou para o Dian e disse que já cancelamos vários protocolos por pendencia financeira. De acordo com ele foram quitadas. precisa que seja garantida a ligação de festividade para a festa do sereno na próxima semana."/>
    <d v="2026-08-12T00:00:00"/>
    <s v="CARD FINALIZADO DEVIDO A DATA DA LIGAÇÃO PROVISORIA JÁ TER SIDO ULTRAPASSADA, PORÉM SEM NENHUMA INFORMAÇÃO OU REGISTRO DA AREA."/>
    <m/>
    <m/>
    <d v="2026-06-19T00:00:00"/>
    <s v="Availdo Taveira de Oliveira"/>
    <s v="Gabriella Domingo"/>
    <s v="Germino Roz - Prefeito Municipal"/>
    <s v=""/>
    <s v="Não"/>
    <s v="Visita Domo de Ferro"/>
    <d v="2026-09-03T00:00:00"/>
    <s v="Moacir Costa Neto"/>
    <d v="2026-08-12T00:00:00"/>
    <s v="Gabriella Amorim Domingo"/>
    <n v="100"/>
    <n v="100"/>
    <n v="100"/>
    <s v=""/>
    <m/>
    <s v=""/>
    <x v="6"/>
    <n v="94"/>
    <x v="0"/>
    <x v="1"/>
    <x v="0"/>
    <x v="0"/>
    <n v="54"/>
    <x v="1"/>
  </r>
  <r>
    <s v="750"/>
    <s v="Visita Domo de Ferro"/>
    <x v="1"/>
    <x v="0"/>
    <d v="2026-06-23T00:00:00"/>
    <s v="Julio Cesar dos Santos Antonelo"/>
    <s v="Finalizada"/>
    <x v="1"/>
    <s v=""/>
    <s v=""/>
    <s v=""/>
    <x v="0"/>
    <x v="13"/>
    <x v="1"/>
    <s v="Dourados"/>
    <s v="AGILIZAR O ORÇAMENTO DO PE 92725 - TRATA-SE OBRA PRA ATENDER MEDIÇÃO AGRUPADA. EXPECTATIVA DO CLIENTE É TER A CONEXAO ATÉ FINAL DE JULHO DE 2026_x000a__x000a_Orçamento finalizado e enviado ao cliente sia 13/07 e finalizado o card."/>
    <d v="2026-06-24T00:00:00"/>
    <s v="AGILIZAR O ORÇAMENTO DO PE 92725 - TRATA-SE OBRA PRA ATENDER MEDIÇÃO AGRUPADA. EXPECTATIVA DO CLIENTE É TER A CONEXAO ATÉ FINAL DE JULHO DE 2026."/>
    <d v="2026-07-29T00:00:00"/>
    <s v="0202601056 ORÇAMENTO ENVIADO PARA O CLIENTE NO DIA 13/07/2026 - AGUARDANDO ACEITE"/>
    <d v="2026-07-31T00:00:00"/>
    <m/>
    <m/>
    <s v="Bruna Victoria Rodrigues Ricardes"/>
    <s v="Mariana Nakada"/>
    <m/>
    <s v="Paulo Roberto dos Santos"/>
    <s v="Não"/>
    <s v="Visita Institucional"/>
    <d v="2026-09-03T00:00:00"/>
    <s v="Moacir Costa Neto"/>
    <d v="2026-07-29T00:00:00"/>
    <s v="Mariana Kenu Shimizu Nakada"/>
    <n v="100"/>
    <n v="100"/>
    <n v="100"/>
    <s v=""/>
    <m/>
    <s v=""/>
    <x v="10"/>
    <n v="90"/>
    <x v="0"/>
    <x v="0"/>
    <x v="0"/>
    <x v="0"/>
    <n v="35"/>
    <x v="4"/>
  </r>
  <r>
    <s v="751"/>
    <s v="Visita Domo de Ferro"/>
    <x v="1"/>
    <x v="0"/>
    <d v="2026-06-23T00:00:00"/>
    <s v="Julio Cesar dos Santos Antonelo"/>
    <s v="Finalizada"/>
    <x v="1"/>
    <s v=""/>
    <s v=""/>
    <s v=""/>
    <x v="0"/>
    <x v="13"/>
    <x v="1"/>
    <s v="Dourados"/>
    <s v="AGILIZAR ORÇAMENTO DO PE 94225 - TRATA-SE DE MEDIÇÃO AGRUPADA, EXPECITATIVA DE CONEXAO É FINAL DE JULHO DE 2026,_x000a__x000a_Central do Cliente (12/08/2026). Orçamento enviado para o cliente na data de 24/07/2026. Obra 020-26-01166 liberada para construção em 04/08/2026."/>
    <d v="2026-06-24T00:00:00"/>
    <s v="AGILIZAR ORÇAMENTO DO PE 94225 OS nº 545523436 - TRATA-SE DE MEDIÇÃO AGRUPADA, EXPECITATIVA DE CONEXAO É FINAL DE JULHO DE 2026"/>
    <d v="2026-07-29T00:00:00"/>
    <s v="OBRA 0202601166 LIBERDA PARA CONSTRUÇÃO 24/07/2026"/>
    <d v="2026-07-31T00:00:00"/>
    <m/>
    <m/>
    <s v="Bruna Victoria Rodrigues Ricardes"/>
    <s v="Mariana Nakada"/>
    <m/>
    <s v="Paulo Roberto dos Santos"/>
    <s v="Não"/>
    <s v="Visita Institucional"/>
    <d v="2026-09-03T00:00:00"/>
    <s v="Moacir Costa Neto"/>
    <d v="2026-07-29T00:00:00"/>
    <s v="Mariana Kenu Shimizu Nakada"/>
    <n v="100"/>
    <n v="100"/>
    <n v="100"/>
    <s v=""/>
    <m/>
    <s v=""/>
    <x v="10"/>
    <n v="90"/>
    <x v="0"/>
    <x v="0"/>
    <x v="0"/>
    <x v="0"/>
    <n v="35"/>
    <x v="4"/>
  </r>
  <r>
    <s v="757"/>
    <s v="Visita Domo de Ferro"/>
    <x v="4"/>
    <x v="1"/>
    <d v="2026-06-23T00:00:00"/>
    <s v="Julio Cesar dos Santos Antonelo"/>
    <s v="Finalizada"/>
    <x v="1"/>
    <s v=""/>
    <s v=""/>
    <s v="0502600350"/>
    <x v="0"/>
    <x v="9"/>
    <x v="1"/>
    <s v="Itaquiraí"/>
    <s v="DIRETORIA SOLICITOU PRIORIDADE NA EXECUÇÃO DESSA OBRA, EXPECITATIVA É 15/07/2026._x000a__x000a_Central do Cliente (12/08/2026):_x000a__x000a_Obra 0502600350 concluída fisicamente em 10/07/2026._x000a_Conexão realizada em 24/07/2026 através da OS 552345202, dando origem a unidade consumidora 3825398."/>
    <d v="2026-07-13T00:00:00"/>
    <s v="DIRETORIA SOLICITOU PRIORIDADE NA EXECUÇÃO DESSA OBRA, EXPECITATIVA É 15/07/2026._x000a_DCMD - respondida em 11/07/2026 - Obra 0502600350 (construção - conclusão física) em 09/07/2026."/>
    <d v="2026-08-12T00:00:00"/>
    <s v="Em análise foi identificado que a conexão do cliente ocorreu em 24/07/2026 através da OS 552345202, dando origem a unidade consumidora 3825398."/>
    <d v="2026-07-15T00:00:00"/>
    <m/>
    <d v="2026-08-12T00:00:00"/>
    <s v="Julio Cesar dos Santos Antonelo"/>
    <s v="Wander Machado"/>
    <m/>
    <s v="Paulo Roberto dos Santos"/>
    <s v="Não"/>
    <s v="Visita Institucional"/>
    <d v="2026-09-03T00:00:00"/>
    <s v="Moacir Costa Neto"/>
    <d v="2026-08-12T00:00:00"/>
    <s v="Wander Idalino Machado"/>
    <n v="100"/>
    <n v="100"/>
    <n v="100"/>
    <s v=""/>
    <m/>
    <s v=""/>
    <x v="4"/>
    <n v="90"/>
    <x v="0"/>
    <x v="0"/>
    <x v="0"/>
    <x v="0"/>
    <n v="30"/>
    <x v="1"/>
  </r>
  <r>
    <s v="757"/>
    <s v="Visita Domo de Ferro"/>
    <x v="0"/>
    <x v="0"/>
    <d v="2026-06-23T00:00:00"/>
    <s v="Julio Cesar dos Santos Antonelo"/>
    <s v="Finalizada"/>
    <x v="1"/>
    <s v=""/>
    <s v=""/>
    <s v="0502600350"/>
    <x v="0"/>
    <x v="9"/>
    <x v="1"/>
    <s v="Itaquiraí"/>
    <s v="DIRETORIA SOLICITOU PRIORIDADE NA EXECUÇÃO DESSA OBRA, EXPECITATIVA É 15/07/2026._x000a__x000a_Central do Cliente (12/08/2026):_x000a__x000a_Obra 0502600350 concluída fisicamente em 10/07/2026._x000a_Conexão realizada em 24/07/2026 através da OS 552345202, dando origem a unidade consumidora 3825398."/>
    <d v="2026-06-24T00:00:00"/>
    <s v="Trata-se de prioridade da Diretoria"/>
    <d v="2026-07-11T00:00:00"/>
    <s v="obra concluida 09/07"/>
    <d v="2026-07-15T00:00:00"/>
    <d v="2026-07-09T00:00:00"/>
    <d v="2026-07-09T00:00:00"/>
    <s v="Felipe Souza do Nascimento"/>
    <s v="Amanda Santos"/>
    <m/>
    <s v="Paulo Roberto dos Santos"/>
    <s v="Não"/>
    <s v="Visita Domo de Ferro"/>
    <d v="2026-09-03T00:00:00"/>
    <s v="Moacir Costa Neto"/>
    <d v="2026-07-11T00:00:00"/>
    <s v="Amanda Aparecida Teixeira dos Santos"/>
    <n v="100"/>
    <n v="100"/>
    <n v="100"/>
    <s v=""/>
    <m/>
    <s v=""/>
    <x v="4"/>
    <n v="90"/>
    <x v="0"/>
    <x v="1"/>
    <x v="0"/>
    <x v="0"/>
    <n v="17"/>
    <x v="0"/>
  </r>
  <r>
    <s v="776"/>
    <s v="Visita Domo de Ferro"/>
    <x v="1"/>
    <x v="0"/>
    <d v="2026-05-22T01:00:00"/>
    <s v="Danila Hertal Moreira Souza"/>
    <s v="Finalizada"/>
    <x v="1"/>
    <s v=""/>
    <s v=""/>
    <s v="0102600400"/>
    <x v="1"/>
    <x v="7"/>
    <x v="1"/>
    <s v="Campo Grande"/>
    <s v="[12:07, 26/06/2026] Paulo Roberto Presidente: Consegue a previsão por favor_x000a_[12:07, 26/06/2026] Paulo Roberto Presidente: Urgente._x000a__x000a_Central do Cliente (12/08/2026): _x000a_Obra 0102600400 conclusão física em 06/07/2026._x000a_Conexão: realizada em 13/07/2026 através da OS 549821419, dando origem a unidade consumidora 3773730"/>
    <d v="2026-06-26T00:00:00"/>
    <s v="Felipe conforme encaminhado no teams e no whats, verifica com urgencia por gentileza a programação dessa obra. Limite do prazo 06/07."/>
    <d v="2026-07-08T00:00:00"/>
    <s v="obra concluida 06/07"/>
    <d v="2026-07-01T00:00:00"/>
    <m/>
    <m/>
    <s v="Felipe Souza do Nascimento"/>
    <s v="Amanda Santos"/>
    <m/>
    <s v="Danila Hertal Moreira Souza"/>
    <s v="Não"/>
    <s v="Visita Domo de Ferro"/>
    <d v="2026-09-03T00:00:00"/>
    <s v="Moacir Costa Neto"/>
    <d v="2026-07-08T00:00:00"/>
    <s v="Amanda Aparecida Teixeira dos Santos"/>
    <n v="100"/>
    <n v="100"/>
    <n v="100"/>
    <s v=""/>
    <m/>
    <s v=""/>
    <x v="5"/>
    <n v="121.95833333333576"/>
    <x v="0"/>
    <x v="0"/>
    <x v="0"/>
    <x v="0"/>
    <n v="12"/>
    <x v="0"/>
  </r>
  <r>
    <s v="776"/>
    <s v="Visita Domo de Ferro"/>
    <x v="1"/>
    <x v="1"/>
    <d v="2026-05-22T01:00:00"/>
    <s v="Danila Hertal Moreira Souza"/>
    <s v="Finalizada"/>
    <x v="1"/>
    <s v=""/>
    <s v=""/>
    <s v="0102600400"/>
    <x v="1"/>
    <x v="7"/>
    <x v="1"/>
    <s v="Campo Grande"/>
    <s v="[12:07, 26/06/2026] Paulo Roberto Presidente: Consegue a previsão por favor_x000a_[12:07, 26/06/2026] Paulo Roberto Presidente: Urgente._x000a__x000a_Central do Cliente (12/08/2026): _x000a_Obra 0102600400 conclusão física em 06/07/2026._x000a_Conexão: realizada em 13/07/2026 através da OS 549821419, dando origem a unidade consumidora 3773730"/>
    <d v="2026-07-02T00:00:00"/>
    <s v="Verificar o processo de ligação junto a área responsável"/>
    <d v="2026-07-22T00:00:00"/>
    <m/>
    <m/>
    <d v="2026-07-06T00:00:00"/>
    <d v="2026-07-13T00:00:00"/>
    <s v="Marcelly Arce Avalo Franca"/>
    <s v="Marcelly Franca"/>
    <m/>
    <s v="Danila Hertal Moreira Souza"/>
    <s v="Não"/>
    <s v="Visita Domo de Ferro"/>
    <d v="2026-09-03T00:00:00"/>
    <s v="Moacir Costa Neto"/>
    <d v="2026-07-22T00:00:00"/>
    <s v="Marcelly Arce Avalo Franca"/>
    <n v="100"/>
    <n v="100"/>
    <n v="100"/>
    <s v=""/>
    <m/>
    <s v=""/>
    <x v="5"/>
    <n v="121.95833333333576"/>
    <x v="0"/>
    <x v="1"/>
    <x v="0"/>
    <x v="0"/>
    <n v="20"/>
    <x v="1"/>
  </r>
  <r>
    <s v="778"/>
    <s v="Visita Domo de Ferro"/>
    <x v="1"/>
    <x v="1"/>
    <d v="2026-05-21T01:00:00"/>
    <s v="Danila Hertal Moreira Souza"/>
    <s v="Finalizada"/>
    <x v="1"/>
    <s v=""/>
    <s v=""/>
    <s v="0102600662"/>
    <x v="1"/>
    <x v="7"/>
    <x v="1"/>
    <s v="Campo Grande"/>
    <s v="[15:00, 26/06/2026] Guilherme Parana: Maurício Botelho _x000a_[15:00, 26/06/2026] Guilherme Parana: Pessoal, prioridade máxima pra agilizar esse processo pfv._x000a__x000a_Central do Cliente (12/08/2026): Obra 010-26-00662 concluída em 01/07/2026. Cliente conectado na data de 30/06/2026 através da ordem de serviço 546950191, dando origem a unidade consumidora 3799024."/>
    <d v="2026-06-26T00:00:00"/>
    <s v="Marcelly, gentileza verificar se há alguma pendência quanto a DESC para a ligação desse cliente. Referente a obra já foi solicitado para agilizar e tem comissionamento OS nº 546294177 aprovado."/>
    <d v="2026-07-01T00:00:00"/>
    <s v="- Ligação concluída ontem dia 30/06; _x000a_- Ressalva em campo: Unidade B ficou ligada em campo, necessário conclusão de transferência de carga para encerrarmos a unidade."/>
    <d v="2026-06-30T00:00:00"/>
    <d v="2026-06-30T00:00:00"/>
    <m/>
    <s v="Marcelly Arce Avalo Franca"/>
    <s v="Marcelly Franca"/>
    <s v="Maurício Botelho"/>
    <s v="Danila Hertal Moreira Souza"/>
    <s v="Não"/>
    <s v="Visita Domo de Ferro"/>
    <d v="2026-09-03T00:00:00"/>
    <s v="Moacir Costa Neto"/>
    <d v="2026-07-01T00:00:00"/>
    <s v="Marcelly Arce Avalo Franca"/>
    <n v="100"/>
    <n v="100"/>
    <n v="100"/>
    <s v=""/>
    <m/>
    <s v=""/>
    <x v="5"/>
    <n v="122.95833333333576"/>
    <x v="0"/>
    <x v="0"/>
    <x v="0"/>
    <x v="0"/>
    <n v="5"/>
    <x v="1"/>
  </r>
  <r>
    <s v="778"/>
    <s v="Visita Domo de Ferro"/>
    <x v="0"/>
    <x v="0"/>
    <d v="2026-05-21T01:00:00"/>
    <s v="Danila Hertal Moreira Souza"/>
    <s v="Finalizada"/>
    <x v="1"/>
    <s v=""/>
    <s v=""/>
    <s v="0102600662"/>
    <x v="1"/>
    <x v="7"/>
    <x v="1"/>
    <s v="Campo Grande"/>
    <s v="[15:00, 26/06/2026] Guilherme Parana: Maurício Botelho _x000a_[15:00, 26/06/2026] Guilherme Parana: Pessoal, prioridade máxima pra agilizar esse processo pfv._x000a__x000a_Central do Cliente (12/08/2026): Obra 010-26-00662 concluída em 01/07/2026. Cliente conectado na data de 30/06/2026 através da ordem de serviço 546950191, dando origem a unidade consumidora 3799024."/>
    <d v="2026-06-26T00:00:00"/>
    <s v="Gentileza, priorizar programação dessa. Prioridade máxima conforme sinzalido pelo gerente do DESC._x000a__x000a_[15:00, 26/06/2026] Guilherme Parana: Maurício Botelho _x000a_[15:00, 26/06/2026] Guilherme Parana: Pessoal, prioridade máxima pra agilizar esse processo pfv"/>
    <d v="2026-07-24T00:00:00"/>
    <m/>
    <d v="2026-07-23T00:00:00"/>
    <d v="2026-06-30T00:00:00"/>
    <m/>
    <s v="Felipe Souza do Nascimento"/>
    <s v="Rafaela Almeida"/>
    <s v="Maurício Botelho"/>
    <s v="Danila Hertal Moreira Souza"/>
    <s v="Não"/>
    <s v="Visita Domo de Ferro"/>
    <d v="2026-09-03T00:00:00"/>
    <s v="Moacir Costa Neto"/>
    <d v="2026-07-24T00:00:00"/>
    <s v="Rafaela Mattos de Almeida"/>
    <n v="100"/>
    <n v="100"/>
    <n v="100"/>
    <s v=""/>
    <m/>
    <s v=""/>
    <x v="5"/>
    <n v="122.95833333333576"/>
    <x v="0"/>
    <x v="0"/>
    <x v="0"/>
    <x v="0"/>
    <n v="28"/>
    <x v="0"/>
  </r>
  <r>
    <s v="78"/>
    <s v="Visita Domo de Ferro"/>
    <x v="2"/>
    <x v="1"/>
    <d v="2026-04-14T00:00:00"/>
    <s v="Availdo Taveira de Oliveira"/>
    <s v="Finalizada"/>
    <x v="1"/>
    <s v=""/>
    <s v=""/>
    <s v=""/>
    <x v="2"/>
    <x v="29"/>
    <x v="0"/>
    <s v="Dois Irmãos do Buriti"/>
    <s v="Prefeito focou muito na questão da qualidade do fornecimento. Informou que nos ultimos meses sentiu uma melhora devido as manutenções realizadas pela Energisa, porém, a população ainda reclama de constantes oscilações ._x000a__x000a_SEM INFORMAÇÕES BASICAS PARA SEGUIR COM A TRATATIVA, NÃO CONSTA ANEXO."/>
    <d v="2026-05-05T00:00:00"/>
    <s v="Agente Availdo, gentileza informar referência das unidades reclamadas."/>
    <d v="2026-08-12T00:00:00"/>
    <s v="SEM ANEXO E INFORMAÇÕES BASICAS PARA CONSULTA."/>
    <m/>
    <m/>
    <d v="2026-08-12T00:00:00"/>
    <s v="Availdo Taveira de Oliveira"/>
    <s v="Bruna Santos"/>
    <s v="Prefeito Wladimir"/>
    <s v="Sandro Adalberto Bagui, Anderson Brum Smaniotto"/>
    <s v="Não"/>
    <s v="Visita Domo de Ferro"/>
    <d v="2026-09-03T00:00:00"/>
    <s v="Moacir Costa Neto"/>
    <d v="2026-08-12T00:00:00"/>
    <s v="Bruna Fabiana Braguin dos Santos"/>
    <n v="100"/>
    <n v="100"/>
    <n v="100"/>
    <s v=""/>
    <m/>
    <s v=""/>
    <x v="7"/>
    <n v="160"/>
    <x v="0"/>
    <x v="1"/>
    <x v="0"/>
    <x v="0"/>
    <n v="99"/>
    <x v="1"/>
  </r>
  <r>
    <s v="80"/>
    <s v="Visita Domo de Ferro"/>
    <x v="1"/>
    <x v="5"/>
    <d v="2026-05-05T00:00:00"/>
    <s v="Availdo Taveira de Oliveira"/>
    <s v="Finalizada"/>
    <x v="1"/>
    <s v=""/>
    <s v=""/>
    <s v=""/>
    <x v="1"/>
    <x v="16"/>
    <x v="2"/>
    <s v="Aparecida do Taboado"/>
    <s v="vereadores vieram reclama da má prestação de serviço pelo nosso atendimento presencial no municipio - Loja com ar condicionado queimado, somente um atendente e painel de senhas quebrados, não sendo possiel organizar a chegada do cliente que ali buscam atendimento"/>
    <d v="2026-05-05T00:00:00"/>
    <s v="Supervisor Maxwell, solicito, por gentileza, a análise e verificação da reclamação referente ao nosso atendimento no município de Aparecida do Taboado._x000a_Peço também que, após a apuração, seja dado um retorno com as devidas considerações e eventuais providências adotadas."/>
    <d v="2026-08-11T00:00:00"/>
    <m/>
    <m/>
    <m/>
    <d v="2026-05-05T00:00:00"/>
    <s v="Maxwell Ferreira Ossuna"/>
    <s v="Aline Mesquita"/>
    <s v="Presidente da Camara  - Heberson Galter e Vereador Pinduca"/>
    <s v="Availdo Taveira de Oliveira"/>
    <s v="Não"/>
    <s v="Visita Domo de Ferro"/>
    <d v="2026-09-03T00:00:00"/>
    <s v="Moacir Costa Neto"/>
    <d v="2026-08-11T00:00:00"/>
    <s v="Aline da Silva Mesquita"/>
    <n v="25"/>
    <n v="25"/>
    <n v="25"/>
    <s v=""/>
    <m/>
    <s v=""/>
    <x v="11"/>
    <n v="139"/>
    <x v="0"/>
    <x v="1"/>
    <x v="0"/>
    <x v="0"/>
    <n v="98"/>
    <x v="1"/>
  </r>
  <r>
    <s v="81"/>
    <s v="Visita Domo de Ferro"/>
    <x v="1"/>
    <x v="1"/>
    <d v="2026-04-08T00:00:00"/>
    <s v="Availdo Taveira de Oliveira"/>
    <s v="Finalizada"/>
    <x v="1"/>
    <s v=""/>
    <s v=""/>
    <s v=""/>
    <x v="1"/>
    <x v="43"/>
    <x v="0"/>
    <s v="Costa Rica"/>
    <s v="Negociação da divida correspondente a recontagem a iluminação pública._x000a_TRATA-SE DE UMA INFORMAÇÃO, CARD FINALIZADO"/>
    <d v="2026-05-05T00:00:00"/>
    <s v="Negociação da divida correspondente a recontagem a iluminação pública. Agente Availdo foi efetivado a negociação? Qual a referência desse cliente (UC)?"/>
    <d v="2026-08-11T00:00:00"/>
    <m/>
    <d v="2026-05-05T00:00:00"/>
    <d v="2026-05-05T00:00:00"/>
    <d v="2026-05-05T00:00:00"/>
    <s v="Availdo Taveira de Oliveira"/>
    <s v="Aline Mesquita"/>
    <s v="Secretrio Guilherme Diniz"/>
    <s v="Availdo Taveira de Oliveira, Marlon Nogueira Maia"/>
    <s v="Não"/>
    <s v="Visita Domo de Ferro"/>
    <d v="2026-09-03T00:00:00"/>
    <s v="Moacir Costa Neto"/>
    <d v="2026-08-11T00:00:00"/>
    <s v="Aline da Silva Mesquita"/>
    <n v="100"/>
    <n v="100"/>
    <n v="100"/>
    <s v=""/>
    <m/>
    <s v=""/>
    <x v="2"/>
    <n v="166"/>
    <x v="0"/>
    <x v="1"/>
    <x v="0"/>
    <x v="0"/>
    <n v="98"/>
    <x v="1"/>
  </r>
  <r>
    <s v="84"/>
    <s v="Visita Domo de Ferro"/>
    <x v="0"/>
    <x v="0"/>
    <d v="2026-05-05T00:00:00"/>
    <s v="Monike Chaves"/>
    <s v="Finalizada"/>
    <x v="1"/>
    <s v=""/>
    <s v=""/>
    <s v="1847426"/>
    <x v="0"/>
    <x v="13"/>
    <x v="0"/>
    <s v="Dourados"/>
    <s v="Origem: Prefeito de Dourados. Solicitado para agilizar a pedido do Diretor Paulo. Id do projeto: 1847426. Tipo de projeto: subestação atendimento carga. Reapresentação do projeto elétrico para renovação de aprovação ( projeto PE 23867/22 Escola Avani)._x000a__x000a_PROJETADO APROVADO EM 13/05, AÇÃO FINALIZADA."/>
    <d v="2026-05-05T00:00:00"/>
    <s v="Solicitado prioridade a pedido do Diretor Paulo, pois veio do prefeito de Dourados e trata de uma escola. Solicitado para agilizar análise do PE nº 1847426 OS nº 528069045."/>
    <d v="2026-06-24T00:00:00"/>
    <m/>
    <d v="2026-05-08T00:00:00"/>
    <m/>
    <m/>
    <s v="Bruna Victoria Rodrigues Ricardes"/>
    <s v="Mariana Nakada"/>
    <s v="Prefeito Marçal Filho"/>
    <s v="Paulo Roberto dos Santos"/>
    <s v="Não"/>
    <s v="Visita Domo de Ferro"/>
    <d v="2026-09-03T00:00:00"/>
    <s v="Moacir Costa Neto"/>
    <d v="2026-06-24T00:00:00"/>
    <s v="Mariana Kenu Shimizu Nakada"/>
    <n v="100"/>
    <n v="100"/>
    <n v="100"/>
    <s v=""/>
    <m/>
    <s v=""/>
    <x v="10"/>
    <n v="139"/>
    <x v="0"/>
    <x v="0"/>
    <x v="0"/>
    <x v="0"/>
    <n v="50"/>
    <x v="4"/>
  </r>
  <r>
    <s v="84"/>
    <s v="Visita Domo de Ferro"/>
    <x v="0"/>
    <x v="1"/>
    <d v="2026-05-05T00:00:00"/>
    <s v="Monike Chaves"/>
    <s v="Finalizada"/>
    <x v="1"/>
    <s v=""/>
    <s v=""/>
    <s v=""/>
    <x v="0"/>
    <x v="13"/>
    <x v="0"/>
    <s v="Dourados"/>
    <s v="Origem: Prefeito de Dourados. Solicitado para agilizar a pedido do Diretor Paulo. Id do projeto: 1847426. Tipo de projeto: subestação atendimento carga. Reapresentação do projeto elétrico para renovação de aprovação ( projeto PE 23867/22 Escola Avani)._x000a__x000a_PROJETADO APROVADO EM 13/05, AÇÃO FINALIZADA."/>
    <d v="2026-06-22T00:00:00"/>
    <s v="Monike, gentileza confirmar e garantir que a prefeitura recebeu o orçamento. Finalizado em 12/06 e esta aguardando aprovação do cliente._x000a__x000a_Origem: Prefeito de Dourados. Solicitado para agilizar a pedido do Diretor Paulo. Id do projeto: 1847426. Tipo de projeto: subestação atendimento carga. Reapresentação do projeto elétrico para renovação de aprovação ( projeto PE 23867/22 Escola Avani)."/>
    <d v="2026-08-13T00:00:00"/>
    <m/>
    <m/>
    <m/>
    <m/>
    <s v="Monike Chaves"/>
    <s v="Gabriella Domingo"/>
    <s v="Prefeito Marçal Filho"/>
    <s v="Paulo Roberto dos Santos"/>
    <s v="Não"/>
    <s v="Visita Domo de Ferro"/>
    <d v="2026-09-03T00:00:00"/>
    <s v="Moacir Costa Neto"/>
    <d v="2026-08-13T00:00:00"/>
    <s v="Gabriella Amorim Domingo"/>
    <n v="100"/>
    <n v="100"/>
    <n v="100"/>
    <s v=""/>
    <m/>
    <s v=""/>
    <x v="10"/>
    <n v="139"/>
    <x v="0"/>
    <x v="1"/>
    <x v="0"/>
    <x v="0"/>
    <n v="52"/>
    <x v="1"/>
  </r>
  <r>
    <s v="934"/>
    <s v="Visita Domo de Ferro"/>
    <x v="4"/>
    <x v="1"/>
    <d v="2026-04-05T00:00:00"/>
    <s v="Monike Chaves"/>
    <s v="Finalizada"/>
    <x v="1"/>
    <s v=""/>
    <s v=""/>
    <s v=""/>
    <x v="0"/>
    <x v="33"/>
    <x v="0"/>
    <s v="Jateí"/>
    <s v="Visita realizada pelo Projeto Integrar - Registro ID 38"/>
    <d v="2026-07-31T00:00:00"/>
    <s v="Analisar os itens abaixo conforme reunião pelo projeto integrar realizado m abril._x000a__x000a_1 - Sobre a carreta &quot;Nossa Energia&quot; da Eficiência Energética. Prefeita demonstrou interesse, solicitei para que ela sugerisse uma data para a realização de uma ação na cidade. (11 de Novembro é o aniversário da cidade)._x000a_2 - Hotel na frente da praça: Prefeita citou que esse hotel é do mesmo dono do restaurante, a solicitação está no nome do solicitante: Edson Alves dos Santos (67 99698-3121). Prefeita pediu para agilizar esse pedido._x000a_3 - A unidade consumidora do restaurante (mesmo dono), alega estar com problemas de tensão, iremos checar para ver se temos histórico deste pedido. Proprietário: Edson Alves dos Santos (67 99698-3121)_x000a_4 - A Prefeita solicita a alteração dos nomes das unidades consumidoras da Prefeitura, de forma a facilitar a gestão do município na hora de pagar as despesas (Posto de Saúde, Creche, Escola, Prefeitura)._x000a_5 - Loteamento Portal do Sol: As referências elétricas são: TD(748480) // TD(748483) - GDO02. Analisar as causas e constatar se pode ser algum aumento de carga à revelia._x000a_6 - &quot;Gleba Nova Esperança: Alegam constantes interrupções nesta região, alegam que lá existe uma escola com mais de 200 alunos e que vem sofrendo com constantes quedas de energia._x000a_&quot;_x000a_7 - &quot;Gleba Nova Esperança: Informaram que existe uma demanda para troca de postes de madeira de eucalipto. Informações que iriamos checar o status dessa demanda e dar uma devolutiva._x000a_&quot;_x000a_8 - Usina solar da Prefeitura: Definimos que iremos checar como está a atual distribuição dos créditos entre as unidades da Prefeitura, e apoiar a gestão do município em eventual correção dos pesos._x000a_9 - Definimos que faremos uma consulta regulatório para saber se a Prefeitura pode entrar no mesmo regime de cooperativa, de forma a permitir ceder parte dos créditos para os munícipes._x000a_10 - Prefeita deseja utilizar os créditos de sua usina solar para abater a Cosip, caso não seja viável, deseja uma alternativa de isentar as famílias de baixa renda. Monike explicou que existe uma Portaria que ampara esse assunto, a se comprometeu a compartilh_x000a_11 - &quot;Em razão do município de Jateí possuir uma Prefeita, e da maioria da câmara ser composta por mulheres, a Prefeitura questionou se não é possível alguma ação social voltada para o público feminino no município."/>
    <d v="2026-08-13T00:00:00"/>
    <s v="TODAS AS AÇÕES CONCLUÍDAS E A PREFEITA CIENTE, INFORMAÇÃO DA GESTORA MONIKE"/>
    <d v="2026-08-07T00:00:00"/>
    <m/>
    <d v="2026-08-13T00:00:00"/>
    <s v="Monike Chaves"/>
    <s v="Bruna Santos"/>
    <m/>
    <s v="Diego Souza Silva"/>
    <s v="Não"/>
    <s v="Visita Domo de Ferro"/>
    <d v="2026-09-03T00:00:00"/>
    <s v="Moacir Costa Neto"/>
    <d v="2026-08-13T00:00:00"/>
    <s v="Bruna Fabiana Braguin dos Santos"/>
    <n v="100"/>
    <n v="100"/>
    <n v="62.5"/>
    <s v=""/>
    <m/>
    <s v=""/>
    <x v="10"/>
    <n v="169"/>
    <x v="0"/>
    <x v="0"/>
    <x v="0"/>
    <x v="1"/>
    <n v="13"/>
    <x v="1"/>
  </r>
  <r>
    <s v="982"/>
    <s v="Visita Domo de Ferro"/>
    <x v="4"/>
    <x v="3"/>
    <d v="2026-07-28T00:00:00"/>
    <s v="Availdo Taveira de Oliveira"/>
    <s v="Finalizada"/>
    <x v="1"/>
    <s v=""/>
    <s v=""/>
    <s v=""/>
    <x v="2"/>
    <x v="10"/>
    <x v="0"/>
    <s v="Miranda"/>
    <s v="Visita instiucional pelos supervisores pelo PROJETO INTEGRAR._x000a__x000a_SEM DEMANDAS A TRATAR._x000a__x000a_Central do Cliente (11/08/202): Informação. Visita institucional pelos supervisores pelo PROJETO INTEGRAR. Sem demandas a tratar."/>
    <d v="2026-08-11T00:00:00"/>
    <s v="Informação. Visita institucional pelos supervisores pelo PROJETO INTEGRAR. Sem demandas a tratar."/>
    <d v="2026-08-11T00:00:00"/>
    <s v="Informação. Visita institucional pelos supervisores pelo PROJETO INTEGRAR. Sem demandas a tratar."/>
    <m/>
    <m/>
    <d v="2026-08-11T00:00:00"/>
    <s v="Wander Idalino Machado"/>
    <s v="Wander Machado"/>
    <s v="Pela Energisa:Availdo, Supervisor Marcos Luglio e Ermenson_x000a_Pela Prefeitura: Secretario de obras Valter, Felipe - Panejamento e Secretaria de finanças"/>
    <s v="Availdo Taveira de Oliveira, Marcos Antonio Luglio, Ermenson Almeida de Arruda"/>
    <s v="Não"/>
    <s v="Visita Domo de Ferro"/>
    <d v="2026-09-03T00:00:00"/>
    <s v="Moacir Costa Neto"/>
    <d v="2026-08-11T00:00:00"/>
    <s v="Wander Idalino Machado"/>
    <n v="100"/>
    <n v="100"/>
    <n v="100"/>
    <s v=""/>
    <m/>
    <s v=""/>
    <x v="7"/>
    <n v="55"/>
    <x v="0"/>
    <x v="1"/>
    <x v="0"/>
    <x v="1"/>
    <n v="0"/>
    <x v="5"/>
  </r>
  <r>
    <s v="983"/>
    <s v="Visita Domo de Ferro"/>
    <x v="4"/>
    <x v="3"/>
    <d v="2026-07-29T00:00:00"/>
    <s v="Availdo Taveira de Oliveira"/>
    <s v="Finalizada"/>
    <x v="1"/>
    <s v=""/>
    <s v=""/>
    <s v=""/>
    <x v="1"/>
    <x v="44"/>
    <x v="0"/>
    <s v="Rochedo"/>
    <s v="VISITA INSTITUCIONAL COM SUPERVISOR PELO PROJETO INTEGRAR_x000a_SEM DEMANDAS A TRATAR._x000a_Central do Cliente (1/08/2026): Informação. Visita institucional, sem demandas a tratar."/>
    <d v="2026-08-11T00:00:00"/>
    <s v="Informação. VISITA INSTITUCIONAL COM SUPERVISOR PELO PROJETO INTEGRAR._x000a_SEM DEMANDAS A TRATAR."/>
    <d v="2026-08-11T00:00:00"/>
    <s v="Informação. Visita institucional, sem demandas a tratar."/>
    <m/>
    <m/>
    <d v="2026-08-11T00:00:00"/>
    <s v="Wander Idalino Machado"/>
    <s v="Wander Machado"/>
    <s v="PREFEITURA  - SECRETARIA DE PLANEJAMENTO - CLAUDIA E SECREARIO DE OBRAS"/>
    <s v="Availdo Taveira de Oliveira, Tiago Portilho Rodrigues"/>
    <s v="Não"/>
    <s v="Visita Domo de Ferro"/>
    <d v="2026-09-03T00:00:00"/>
    <s v="Moacir Costa Neto"/>
    <d v="2026-08-11T00:00:00"/>
    <s v="Wander Idalino Machado"/>
    <n v="100"/>
    <n v="100"/>
    <n v="100"/>
    <s v=""/>
    <m/>
    <s v=""/>
    <x v="8"/>
    <n v="54"/>
    <x v="0"/>
    <x v="1"/>
    <x v="0"/>
    <x v="1"/>
    <n v="0"/>
    <x v="5"/>
  </r>
  <r>
    <s v="984"/>
    <s v="Visita Domo de Ferro"/>
    <x v="4"/>
    <x v="3"/>
    <d v="2026-08-03T00:00:00"/>
    <s v="Availdo Taveira de Oliveira"/>
    <s v="Finalizada"/>
    <x v="1"/>
    <s v=""/>
    <s v=""/>
    <s v=""/>
    <x v="3"/>
    <x v="45"/>
    <x v="0"/>
    <s v="Nioaque"/>
    <s v="REITERADO A NECESSIDADE DA ASSINATURA DO CONVENIO DE PODAS_x000a_SEM DEMANDAS A TRATAR._x000a_Central do Cliente (11/08/2026): Informação. Visita institucional. Sem demandas a tratar."/>
    <d v="2026-08-11T00:00:00"/>
    <s v="Informação. Visita institucional. Sem demandas a tratar."/>
    <d v="2026-08-11T00:00:00"/>
    <m/>
    <m/>
    <m/>
    <d v="2026-08-11T00:00:00"/>
    <s v="Wander Idalino Machado"/>
    <s v="Wander Machado"/>
    <s v="PELA ENERGIA: AVAILDO_x000a_PELA PREFEITURA: CHEFE DE GABINETE - JOSIANE, SECRETARIO DE FINANÇAS RAFAEL E PREFEITO ANDRE"/>
    <s v="Availdo Taveira de Oliveira"/>
    <s v="Não"/>
    <s v="Visita Domo de Ferro"/>
    <d v="2026-09-03T00:00:00"/>
    <s v="Moacir Costa Neto"/>
    <d v="2026-08-11T00:00:00"/>
    <s v="Wander Idalino Machado"/>
    <n v="100"/>
    <n v="100"/>
    <n v="100"/>
    <s v=""/>
    <m/>
    <s v=""/>
    <x v="12"/>
    <n v="49"/>
    <x v="0"/>
    <x v="1"/>
    <x v="0"/>
    <x v="0"/>
    <n v="0"/>
    <x v="5"/>
  </r>
  <r>
    <s v="985"/>
    <s v="Visita Domo de Ferro"/>
    <x v="4"/>
    <x v="3"/>
    <d v="2026-08-04T00:00:00"/>
    <s v="Availdo Taveira de Oliveira"/>
    <s v="Finalizada"/>
    <x v="1"/>
    <s v=""/>
    <s v=""/>
    <s v=""/>
    <x v="2"/>
    <x v="46"/>
    <x v="0"/>
    <s v="Bonito"/>
    <s v="VISITA PROJETO INTEGRAR_x000a_SEM DEMANDAS A TRATAR._x000a_Central do Cliente (11/08/2026): Informação. Visita Projeto Integrar, sem demandas a tratar."/>
    <d v="2026-08-11T00:00:00"/>
    <s v="Informação. Visita Projeto Integrar, sem demandas a tratar."/>
    <d v="2026-08-18T00:00:00"/>
    <m/>
    <m/>
    <m/>
    <d v="2026-08-11T00:00:00"/>
    <s v="Wander Idalino Machado"/>
    <s v="Wander Machado"/>
    <s v="PELA ENERGISA: AVAILDO_x000a_PELA PREFEITURA: CHEFE DE GOVERNO JARY JUNIOR , SECRETARIO DE OBRAS MADSON E PROCURADORA DO MUNICIPIO"/>
    <s v="Availdo Taveira de Oliveira"/>
    <s v="Não"/>
    <s v="Visita Domo de Ferro"/>
    <d v="2026-09-03T00:00:00"/>
    <s v="Moacir Costa Neto"/>
    <d v="2026-08-18T00:00:00"/>
    <s v="Wander Idalino Machado"/>
    <n v="100"/>
    <n v="100"/>
    <n v="100"/>
    <s v=""/>
    <m/>
    <s v=""/>
    <x v="12"/>
    <n v="48"/>
    <x v="0"/>
    <x v="1"/>
    <x v="0"/>
    <x v="1"/>
    <n v="7"/>
    <x v="5"/>
  </r>
  <r>
    <s v="985"/>
    <s v="Visita Domo de Ferro"/>
    <x v="4"/>
    <x v="4"/>
    <d v="2026-08-04T00:00:00"/>
    <s v="Availdo Taveira de Oliveira"/>
    <s v="Finalizada"/>
    <x v="1"/>
    <s v=""/>
    <s v=""/>
    <s v=""/>
    <x v="2"/>
    <x v="46"/>
    <x v="0"/>
    <s v="Bonito"/>
    <s v="VISITA PROJETO INTEGRAR_x000a_SEM DEMANDAS A TRATAR._x000a_Central do Cliente (11/08/2026): Informação. Visita Projeto Integrar, sem demandas a tratar."/>
    <d v="2026-08-11T00:00:00"/>
    <m/>
    <d v="2026-08-12T00:00:00"/>
    <s v="Informação. Visita Projeto Integrar, sem demandas a tratar."/>
    <m/>
    <m/>
    <d v="2026-08-11T00:00:00"/>
    <s v="Vazio"/>
    <s v="Wander Machado"/>
    <s v="PELA ENERGISA: AVAILDO_x000a_PELA PREFEITURA: CHEFE DE GOVERNO JARY JUNIOR , SECRETARIO DE OBRAS MADSON E PROCURADORA DO MUNICIPIO"/>
    <s v="Availdo Taveira de Oliveira"/>
    <s v="Não"/>
    <s v="Visita Domo de Ferro"/>
    <d v="2026-09-03T00:00:00"/>
    <s v="Moacir Costa Neto"/>
    <d v="2026-08-12T00:00:00"/>
    <s v="Wander Idalino Machado"/>
    <n v="100"/>
    <n v="100"/>
    <n v="100"/>
    <s v=""/>
    <m/>
    <s v=""/>
    <x v="12"/>
    <n v="48"/>
    <x v="0"/>
    <x v="1"/>
    <x v="0"/>
    <x v="1"/>
    <n v="1"/>
    <x v="5"/>
  </r>
  <r>
    <s v="985"/>
    <s v="Visita Domo de Ferro"/>
    <x v="6"/>
    <x v="4"/>
    <d v="2026-08-04T00:00:00"/>
    <s v="Availdo Taveira de Oliveira"/>
    <s v="Finalizada"/>
    <x v="2"/>
    <s v=""/>
    <s v=""/>
    <s v=""/>
    <x v="2"/>
    <x v="46"/>
    <x v="0"/>
    <s v="Bonito"/>
    <s v="VISITA PROJETO INTEGRAR_x000a_SEM DEMANDAS A TRATAR._x000a_Central do Cliente (11/08/2026): Informação. Visita Projeto Integrar, sem demandas a tratar."/>
    <d v="2026-08-11T00:00:00"/>
    <m/>
    <m/>
    <m/>
    <m/>
    <m/>
    <m/>
    <s v="Vazio"/>
    <s v=""/>
    <s v="PELA ENERGISA: AVAILDO_x000a_PELA PREFEITURA: CHEFE DE GOVERNO JARY JUNIOR , SECRETARIO DE OBRAS MADSON E PROCURADORA DO MUNICIPIO"/>
    <s v="Availdo Taveira de Oliveira"/>
    <s v="Não"/>
    <s v="Visita Domo de Ferro"/>
    <d v="2026-09-03T00:00:00"/>
    <s v="Moacir Costa Neto"/>
    <d v="2026-08-11T00:00:00"/>
    <s v="Wander Idalino Machado"/>
    <n v="100"/>
    <n v="100"/>
    <n v="50"/>
    <s v=""/>
    <m/>
    <s v=""/>
    <x v="12"/>
    <n v="48"/>
    <x v="0"/>
    <x v="1"/>
    <x v="0"/>
    <x v="1"/>
    <n v="41"/>
    <x v="5"/>
  </r>
  <r>
    <s v="149"/>
    <s v="Visita Domo de Ferro"/>
    <x v="4"/>
    <x v="1"/>
    <d v="2026-05-05T00:00:00"/>
    <s v="Giovani Moura Sousa"/>
    <s v="Finalizada"/>
    <x v="1"/>
    <s v="Câmara Municipal de Campo Grande"/>
    <s v=""/>
    <s v=""/>
    <x v="1"/>
    <x v="7"/>
    <x v="2"/>
    <s v="Campo Grande"/>
    <s v="Vereador questionou valor alto em conta de energia solar realacionado à taxa de iluminação pública."/>
    <d v="2026-05-12T00:00:00"/>
    <s v="Informar/Orientar que taxa de iluminação pública trata se de uma lei municipal. E mesmo cliente injetando não é isento de IP, o valor é cobrado conforme consumo."/>
    <d v="2026-05-12T00:00:00"/>
    <s v="Informar/Orientar que taxa de iluminação pública trata se de uma lei municipal. E mesmo cliente injetando não é isento de IP, o valor é cobrado conforme consumo."/>
    <m/>
    <m/>
    <m/>
    <s v="Vazio"/>
    <s v="Danila Souza"/>
    <s v="Vereador Rafael Tavares"/>
    <s v="Giovani Moura Sousa"/>
    <s v=""/>
    <s v="Visita Domo de Ferro"/>
    <d v="2026-09-03T00:00:00"/>
    <s v="Moacir Costa Neto"/>
    <d v="2026-05-12T00:00:00"/>
    <s v="Danila Hertal Moreira Souza"/>
    <n v="25"/>
    <n v="25"/>
    <n v="12.5"/>
    <s v=""/>
    <m/>
    <s v=""/>
    <x v="5"/>
    <n v="139"/>
    <x v="0"/>
    <x v="1"/>
    <x v="0"/>
    <x v="0"/>
    <n v="0"/>
    <x v="5"/>
  </r>
  <r>
    <s v="152"/>
    <s v="Visita Domo de Ferro"/>
    <x v="3"/>
    <x v="1"/>
    <d v="2026-03-19T00:00:00"/>
    <s v="Giovani Moura Sousa"/>
    <s v="Finalizada"/>
    <x v="1"/>
    <s v="Câmara Municipal de Corumbá"/>
    <s v=""/>
    <s v=""/>
    <x v="2"/>
    <x v="4"/>
    <x v="2"/>
    <s v="Corumbá"/>
    <s v="Manutenção de postes &quot;tombados&quot; em assentamento próximo à Corumbá"/>
    <d v="2026-05-12T00:00:00"/>
    <s v="Manutenção de postes &quot;tombados&quot; em assentamento próximo à Corumbá"/>
    <d v="2026-05-12T00:00:00"/>
    <s v="Manutenção de postes &quot;tombados&quot; em assentamento próximo à Corumbá - Agente Giovani gentileza solicitar uma referência como unidade do local, também nome do assentamento. Adicional se possivel foto e coordenadas do local."/>
    <m/>
    <m/>
    <m/>
    <s v="Vazio"/>
    <s v="Danila Souza"/>
    <m/>
    <s v="Giovani Moura Sousa"/>
    <s v=""/>
    <s v="Visita Domo de Ferro"/>
    <d v="2026-09-03T00:00:00"/>
    <s v="Moacir Costa Neto"/>
    <d v="2026-05-12T00:00:00"/>
    <s v="Danila Hertal Moreira Souza"/>
    <n v="25"/>
    <n v="25"/>
    <n v="12.5"/>
    <s v=""/>
    <m/>
    <s v=""/>
    <x v="3"/>
    <n v="186"/>
    <x v="0"/>
    <x v="1"/>
    <x v="0"/>
    <x v="0"/>
    <n v="0"/>
    <x v="5"/>
  </r>
  <r>
    <s v="158"/>
    <s v="Visita Domo de Ferro"/>
    <x v="5"/>
    <x v="3"/>
    <d v="2026-03-17T00:00:00"/>
    <s v="Giovani Moura Sousa"/>
    <s v="Finalizada"/>
    <x v="1"/>
    <s v="Câmara Municipal de Ponta Porã"/>
    <s v=""/>
    <s v=""/>
    <x v="0"/>
    <x v="22"/>
    <x v="2"/>
    <s v="Ponta Porã"/>
    <s v="Vereadora solicita podas no assentamento Itamarati e melhoria na qualidade de fornecimento da energia elétrica."/>
    <d v="2026-05-13T00:00:00"/>
    <s v="Vereadora solicita podas no assentamento Itamarati e melhoria na qualidade de fornecimento da energia elétrica. Vereadora precisa informar unidades dos reclamantes, se possivel foto dos pontos, coordenadas."/>
    <m/>
    <m/>
    <m/>
    <m/>
    <m/>
    <s v="Giovani Moura Sousa"/>
    <s v=""/>
    <s v="Vereadora Nathalia_x000a_Giovani Energisa_x000a_Fabrício Almeida Eneegisa"/>
    <s v="Giovani Moura Sousa"/>
    <s v=""/>
    <s v="Visita Domo de Ferro"/>
    <d v="2026-08-15T00:00:00"/>
    <s v="Moacir Costa Neto"/>
    <d v="2026-05-13T00:00:00"/>
    <s v="Danila Hertal Moreira Souza"/>
    <n v="25"/>
    <n v="25"/>
    <n v="12.5"/>
    <s v=""/>
    <m/>
    <s v=""/>
    <x v="0"/>
    <n v="188"/>
    <x v="0"/>
    <x v="1"/>
    <x v="0"/>
    <x v="0"/>
    <n v="131"/>
    <x v="1"/>
  </r>
  <r>
    <s v="191"/>
    <s v="Visita Domo de Ferro"/>
    <x v="0"/>
    <x v="3"/>
    <d v="2026-04-08T00:00:00"/>
    <s v="Danila Hertal Moreira Souza"/>
    <s v="Finalizada"/>
    <x v="1"/>
    <s v=""/>
    <s v=""/>
    <s v="0102505237"/>
    <x v="1"/>
    <x v="7"/>
    <x v="0"/>
    <s v="Campo Grande"/>
    <s v="Recebido pelo whats - Obra era na primeira semana de abril, depois passaram para  15 de abril e depois para 30 de abril Sera que vc consegue antecipar isso?  Eles tem que entregar as casas , ja estao vendidas"/>
    <d v="2026-05-11T00:00:00"/>
    <s v="Verificar conclusão da obra e ligação"/>
    <d v="2026-06-24T00:00:00"/>
    <s v="0102505237"/>
    <d v="2026-05-04T00:00:00"/>
    <m/>
    <d v="2026-05-04T00:00:00"/>
    <s v="Danila Hertal Moreira Souza"/>
    <s v="Rafaela Almeida"/>
    <m/>
    <s v="Danila Hertal Moreira Souza"/>
    <s v=""/>
    <s v="Visita Domo de Ferro"/>
    <d v="2026-09-03T00:00:00"/>
    <s v="Moacir Costa Neto"/>
    <d v="2026-06-24T00:00:00"/>
    <s v="Rafaela Mattos de Almeida"/>
    <n v="100"/>
    <n v="100"/>
    <n v="100"/>
    <s v=""/>
    <m/>
    <s v=""/>
    <x v="5"/>
    <n v="166"/>
    <x v="0"/>
    <x v="1"/>
    <x v="0"/>
    <x v="0"/>
    <n v="44"/>
    <x v="1"/>
  </r>
  <r>
    <s v="204"/>
    <s v="Visita Domo de Ferro"/>
    <x v="1"/>
    <x v="3"/>
    <d v="2026-04-13T00:00:00"/>
    <s v="Gabriella Amorim Domingo"/>
    <s v="Finalizada"/>
    <x v="1"/>
    <s v="Prefeitura de Alcinópolis"/>
    <s v=""/>
    <s v=""/>
    <x v="1"/>
    <x v="47"/>
    <x v="0"/>
    <s v="Alcinópolis"/>
    <s v="Obra 0452600083. Agilizar uma obra . Expectativa ate 01/05, solicitado pelo Gestor Availdo"/>
    <d v="2026-06-22T00:00:00"/>
    <s v="Obra 0452600083 concluída em 08/06. Gerado OS nº 540357518 a atendida em 15/06. Gerado UC 3838986._x000a__x000a_Obra 0452600083. Agilizar uma obra . Expectativa ate 01/05, solicitado pelo Gestor Availdo"/>
    <m/>
    <m/>
    <m/>
    <m/>
    <m/>
    <s v="Danila Hertal Moreira Souza"/>
    <s v=""/>
    <m/>
    <s v="Gabriella Amorim Domingo"/>
    <s v=""/>
    <s v="Visita Domo de Ferro"/>
    <d v="2026-09-03T00:00:00"/>
    <s v="Moacir Costa Neto"/>
    <d v="2026-06-22T00:00:00"/>
    <s v="Danila Hertal Moreira Souza"/>
    <n v="100"/>
    <n v="100"/>
    <n v="50"/>
    <s v=""/>
    <m/>
    <s v=""/>
    <x v="2"/>
    <n v="161"/>
    <x v="0"/>
    <x v="1"/>
    <x v="0"/>
    <x v="0"/>
    <n v="91"/>
    <x v="5"/>
  </r>
  <r>
    <s v="204"/>
    <s v="Visita Domo de Ferro"/>
    <x v="1"/>
    <x v="0"/>
    <d v="2026-04-13T00:00:00"/>
    <s v="Gabriella Amorim Domingo"/>
    <s v="Finalizada"/>
    <x v="1"/>
    <s v=""/>
    <s v=""/>
    <s v="0452600083"/>
    <x v="1"/>
    <x v="47"/>
    <x v="0"/>
    <s v="Alcinópolis"/>
    <s v="Obra 0452600083. Agilizar uma obra . Expectativa ate 01/05, solicitado pelo Gestor Availdo"/>
    <d v="2026-05-11T00:00:00"/>
    <s v="Obra 0452600083. Agilizar uma obra . Expectativa ate 01/05, solicitado pelo Gestor Availdo"/>
    <d v="2026-08-13T00:00:00"/>
    <m/>
    <d v="2026-05-01T00:00:00"/>
    <m/>
    <d v="2026-06-08T00:00:00"/>
    <s v="Felipe Souza do Nascimento"/>
    <s v="Gabriella Domingo"/>
    <m/>
    <s v="Gabriella Amorim Domingo"/>
    <s v=""/>
    <s v="Visita Domo de Ferro"/>
    <d v="2026-09-03T00:00:00"/>
    <s v="Moacir Costa Neto"/>
    <d v="2026-08-13T00:00:00"/>
    <s v="Gabriella Amorim Domingo"/>
    <n v="100"/>
    <n v="100"/>
    <n v="100"/>
    <s v=""/>
    <m/>
    <s v=""/>
    <x v="2"/>
    <n v="161"/>
    <x v="0"/>
    <x v="0"/>
    <x v="0"/>
    <x v="0"/>
    <n v="94"/>
    <x v="0"/>
  </r>
  <r>
    <s v="266"/>
    <s v="Visita Domo de Ferro"/>
    <x v="0"/>
    <x v="3"/>
    <d v="2026-05-12T00:00:00"/>
    <s v="Giovani Moura Sousa"/>
    <s v="Finalizada"/>
    <x v="1"/>
    <s v="Câmara Municipal de Campo Grande"/>
    <s v=""/>
    <s v=""/>
    <x v="1"/>
    <x v="7"/>
    <x v="2"/>
    <s v="Campo Grande"/>
    <s v="Vereador Clodoilson solicitou apoio para extensão de rede em bairro de Campo Grande. Na ocasião informou que já existem os postes, que faltam somente lançar os cabos e instalar as luminérias nos postes. Comunicamos pra ele que este processo deverá ter início a priori na Secretaria de Obras de Campo Grande. Depois de aprovado o orçamento da concessionária, executamos as instalações."/>
    <d v="2026-05-13T00:00:00"/>
    <s v="Reunião realizada para orientação que essa solicitação é registrado pela prefeitura. Vereador ficou ciente e esclarecido."/>
    <d v="2026-06-22T00:00:00"/>
    <m/>
    <d v="2026-06-16T00:00:00"/>
    <m/>
    <d v="2026-06-14T00:00:00"/>
    <s v="Giovani Moura Sousa"/>
    <s v="Rafaela Almeida"/>
    <s v="Vereador Clodoilson_x000a_Giovani Energisa"/>
    <s v="Giovani Moura Sousa"/>
    <s v=""/>
    <s v="Visita Domo de Ferro"/>
    <d v="2026-09-03T00:00:00"/>
    <s v="Moacir Costa Neto"/>
    <d v="2026-06-22T00:00:00"/>
    <s v="Rafaela Mattos de Almeida"/>
    <n v="25"/>
    <n v="25"/>
    <n v="25"/>
    <s v=""/>
    <m/>
    <s v=""/>
    <x v="5"/>
    <n v="132"/>
    <x v="0"/>
    <x v="1"/>
    <x v="0"/>
    <x v="0"/>
    <n v="40"/>
    <x v="7"/>
  </r>
  <r>
    <s v="271"/>
    <s v="Visita Domo de Ferro"/>
    <x v="0"/>
    <x v="0"/>
    <d v="2026-05-13T00:00:00"/>
    <s v="Danila Hertal Moreira Souza"/>
    <s v="Finalizada"/>
    <x v="1"/>
    <s v="Prefeitura de Dourados"/>
    <s v=""/>
    <s v="0202600478"/>
    <x v="0"/>
    <x v="13"/>
    <x v="0"/>
    <s v="Dourados"/>
    <s v="Solicitação de prioridade da obra 0202600478 - Afastamento de Rede OS 510099267"/>
    <d v="2026-05-13T00:00:00"/>
    <s v="Origem: Thiago Balbio/Pres. Paulo. Solicitação de prioridade da obra 0202600478 - Afastamento de Rede OS 510099267. Expectativa do cliente:  o quanto antes essas, lançado no priorizador 31/05."/>
    <d v="2026-06-11T00:00:00"/>
    <s v="OBRA CONCLUIDA 0202600478"/>
    <d v="2026-05-31T00:00:00"/>
    <d v="2026-05-16T00:00:00"/>
    <d v="2026-05-16T00:00:00"/>
    <s v="Felipe Souza do Nascimento"/>
    <s v="Felipe Nascimento"/>
    <s v="Prefeito Marçal Filho"/>
    <s v="Danila Hertal Moreira Souza"/>
    <s v=""/>
    <s v="Visita Domo de Ferro"/>
    <d v="2026-09-03T00:00:00"/>
    <s v="Moacir Costa Neto"/>
    <d v="2026-06-11T00:00:00"/>
    <s v="Felipe Souza do Nascimento"/>
    <n v="100"/>
    <n v="100"/>
    <n v="50"/>
    <s v=""/>
    <m/>
    <s v=""/>
    <x v="10"/>
    <n v="131"/>
    <x v="0"/>
    <x v="1"/>
    <x v="0"/>
    <x v="0"/>
    <n v="29"/>
    <x v="0"/>
  </r>
  <r>
    <s v="273"/>
    <s v="Visita Domo de Ferro"/>
    <x v="0"/>
    <x v="0"/>
    <d v="2026-05-13T00:00:00"/>
    <s v="Danila Hertal Moreira Souza"/>
    <s v="Finalizada"/>
    <x v="1"/>
    <s v=""/>
    <s v=""/>
    <s v="0202600481"/>
    <x v="0"/>
    <x v="13"/>
    <x v="0"/>
    <s v="Dourados"/>
    <s v="Origem: Thiago Balbio/Pres. Paulo. Solicitação de prioridade da obra 0202600481- Afastamento de Rede OS 510100341. Expectativa do cliente:  o quanto antes essas, lançado no priorizador 31/05."/>
    <d v="2026-05-13T00:00:00"/>
    <s v="Origem: Thiago Balbio/Pres. Paulo. Solicitação de prioridade da obra 0202600481- Afastamento de Rede OS 510100341. Expectativa do cliente:  o quanto antes essas, lançado no priorizador 31/05"/>
    <d v="2026-08-13T00:00:00"/>
    <m/>
    <d v="2026-05-31T00:00:00"/>
    <d v="2026-05-18T00:00:00"/>
    <m/>
    <s v="Felipe Souza do Nascimento"/>
    <s v="Gabriella Domingo"/>
    <s v="Prefeito Marçal Filho"/>
    <s v="Danila Hertal Moreira Souza"/>
    <s v=""/>
    <s v="Visita Domo de Ferro"/>
    <d v="2026-09-03T00:00:00"/>
    <s v="Moacir Costa Neto"/>
    <d v="2026-08-13T00:00:00"/>
    <s v="Gabriella Amorim Domingo"/>
    <n v="100"/>
    <n v="100"/>
    <n v="100"/>
    <s v=""/>
    <m/>
    <s v=""/>
    <x v="10"/>
    <n v="131"/>
    <x v="0"/>
    <x v="0"/>
    <x v="0"/>
    <x v="0"/>
    <n v="92"/>
    <x v="0"/>
  </r>
  <r>
    <s v="293"/>
    <s v="Visita Domo de Ferro"/>
    <x v="1"/>
    <x v="6"/>
    <d v="2026-02-23T00:00:00"/>
    <s v="Monike Chaves"/>
    <s v="Finalizada"/>
    <x v="1"/>
    <s v="Prefeitura de Glória de Dourados"/>
    <s v=""/>
    <s v=""/>
    <x v="0"/>
    <x v="48"/>
    <x v="0"/>
    <s v="Glória de Dourados"/>
    <s v="Agenda de Campo - Projeto Integrar"/>
    <d v="2026-05-18T00:00:00"/>
    <s v="Informamos ao Secretário sobre nossa obra prevista no plano de negócios 2026, prevendo a troca do transformador da SE."/>
    <m/>
    <m/>
    <m/>
    <m/>
    <m/>
    <s v="Monike Chaves"/>
    <s v=""/>
    <s v="Reunião realizada pelo Secretário de Obras."/>
    <s v="Diego Souza Silva, Thiago de Alvarenga Balbio"/>
    <s v=""/>
    <s v="Visita Domo de Ferro"/>
    <d v="2026-08-15T00:00:00"/>
    <s v="Moacir Costa Neto"/>
    <d v="2026-05-18T00:00:00"/>
    <s v="Danila Hertal Moreira Souza"/>
    <n v="100"/>
    <n v="100"/>
    <n v="50"/>
    <s v=""/>
    <m/>
    <s v=""/>
    <x v="6"/>
    <n v="210"/>
    <x v="0"/>
    <x v="1"/>
    <x v="0"/>
    <x v="1"/>
    <n v="126"/>
    <x v="1"/>
  </r>
  <r>
    <s v="293"/>
    <s v="Visita Domo de Ferro"/>
    <x v="1"/>
    <x v="1"/>
    <d v="2026-02-23T00:00:00"/>
    <s v="Monike Chaves"/>
    <s v="Finalizada"/>
    <x v="1"/>
    <s v="Prefeitura de Glória de Dourados"/>
    <s v=""/>
    <s v=""/>
    <x v="0"/>
    <x v="48"/>
    <x v="0"/>
    <s v="Glória de Dourados"/>
    <s v="Agenda de Campo - Projeto Integrar"/>
    <d v="2026-05-18T00:00:00"/>
    <s v="Não houve pendências específicas passadas para nós na reunião, mas foi nos informado a intenção futura de solicitação de demandas de iluminação pública, de pronto respondemos solicitando que nos fosse antecipado o pedido o quanto antes para atendermos a expectativa da Prefeitura."/>
    <m/>
    <m/>
    <m/>
    <m/>
    <m/>
    <s v="Monike Chaves"/>
    <s v=""/>
    <s v="Reunião realizada pelo Secretário de Obras."/>
    <s v="Diego Souza Silva, Thiago de Alvarenga Balbio"/>
    <s v=""/>
    <s v="Visita Domo de Ferro"/>
    <d v="2026-08-15T00:00:00"/>
    <s v="Moacir Costa Neto"/>
    <d v="2026-05-18T00:00:00"/>
    <s v="Danila Hertal Moreira Souza"/>
    <n v="100"/>
    <n v="100"/>
    <n v="50"/>
    <s v=""/>
    <m/>
    <s v=""/>
    <x v="6"/>
    <n v="210"/>
    <x v="0"/>
    <x v="1"/>
    <x v="0"/>
    <x v="1"/>
    <n v="126"/>
    <x v="1"/>
  </r>
  <r>
    <s v="316"/>
    <s v="Visita Domo de Ferro"/>
    <x v="4"/>
    <x v="1"/>
    <d v="2026-05-12T00:00:00"/>
    <s v="Availdo Taveira de Oliveira"/>
    <s v="Finalizada"/>
    <x v="1"/>
    <s v="Prefeitura de Inocência"/>
    <s v=""/>
    <s v=""/>
    <x v="1"/>
    <x v="24"/>
    <x v="0"/>
    <s v="Inocência"/>
    <s v="Com a prefeitura não restou demandas a serem tratadas. As obras mencionadas ja estão sendo tratadas pelo Rafael/novas conexões"/>
    <d v="2026-05-21T00:00:00"/>
    <s v="Com a prefeitura não restou demandas a serem tratadas. As obras mencionadas ja estão sendo tratadas pelo Rafael/novas conexões"/>
    <m/>
    <m/>
    <m/>
    <m/>
    <m/>
    <s v="Availdo Taveira de Oliveira"/>
    <s v=""/>
    <s v="Prefeito Toninho e Vice prefeito Henrique"/>
    <s v="Availdo Taveira de Oliveira"/>
    <s v=""/>
    <s v="Visita Domo de Ferro"/>
    <d v="2026-08-15T00:00:00"/>
    <s v="Moacir Costa Neto"/>
    <d v="2026-05-21T00:00:00"/>
    <s v="Danila Hertal Moreira Souza"/>
    <n v="100"/>
    <n v="100"/>
    <n v="50"/>
    <s v=""/>
    <m/>
    <s v=""/>
    <x v="11"/>
    <n v="132"/>
    <x v="0"/>
    <x v="1"/>
    <x v="0"/>
    <x v="0"/>
    <n v="123"/>
    <x v="1"/>
  </r>
  <r>
    <s v="318"/>
    <s v="Visita Domo de Ferro"/>
    <x v="2"/>
    <x v="2"/>
    <d v="2026-05-20T00:00:00"/>
    <s v="Danila Hertal Moreira Souza"/>
    <s v="Finalizada"/>
    <x v="1"/>
    <s v=""/>
    <s v="2092832"/>
    <s v=""/>
    <x v="0"/>
    <x v="18"/>
    <x v="2"/>
    <s v="Amambai"/>
    <s v="Solicitado no grupo whats da central do cliente - demandas prioritárias pelo Artur Gandra/ DPRE Paulo Roberto para verificar a falta de água pela falta de energia. Oficio 026/2026 da Câmara Municipal de Amambai para a Sanesul. _x000a_segue atualização deste caso de AMAMBAI:_x000a_- 8 Podas;_x000a_- Retensionamento de 1 vão;_x000a_- 150 metros de limpeza de faixa._x000a__x000a_Agendado desligamento programado para execução em 09/06."/>
    <d v="2026-05-21T00:00:00"/>
    <s v="Solicitado no grupo whats da central do cliente - demandas prioritárias pelo Artur Gandra/ DPRE Paulo Roberto para verificar a falta de água pela falta de energia. Oficio 026/2026 da Câmara Municipal de Amambai para a Sanesul. O Diego sanalizou que será inspecionado hoje 21/05."/>
    <d v="2026-08-06T00:00:00"/>
    <m/>
    <m/>
    <m/>
    <m/>
    <s v="Diego Souza Silva"/>
    <s v="Marcelly Franca"/>
    <m/>
    <s v="Danila Hertal Moreira Souza"/>
    <s v=""/>
    <s v="Visita Domo de Ferro"/>
    <d v="2026-09-03T00:00:00"/>
    <s v="Moacir Costa Neto"/>
    <d v="2026-08-06T00:00:00"/>
    <s v="Marcelly Arce Avalo Franca"/>
    <n v="25"/>
    <n v="25"/>
    <n v="25"/>
    <s v=""/>
    <m/>
    <s v=""/>
    <x v="0"/>
    <n v="124"/>
    <x v="0"/>
    <x v="1"/>
    <x v="0"/>
    <x v="0"/>
    <n v="77"/>
    <x v="2"/>
  </r>
  <r>
    <s v="326"/>
    <s v="Visita Domo de Ferro"/>
    <x v="0"/>
    <x v="3"/>
    <d v="2026-05-21T00:00:00"/>
    <s v="Giovani Moura Sousa"/>
    <s v="Finalizada"/>
    <x v="1"/>
    <s v="Câmara Municipal de Campo Grande"/>
    <s v=""/>
    <s v=""/>
    <x v="1"/>
    <x v="7"/>
    <x v="2"/>
    <s v="Campo Grande"/>
    <s v="O vereador foi comunicado que a obra terá um custo para o cliente. Inicialmente eles estavam pedindo a isenção de custos, mas em reunião com o Paulo ficou decidido que haverá sim custos para o cliente."/>
    <d v="2026-06-01T00:00:00"/>
    <s v="O vereador foi comunicado que a obra terá um custo para o cliente. Inicialmente eles estavam pedindo a isenção de custos, mas em reunião com o Paulo ficou decidido que haverá sim custos para o cliente."/>
    <d v="2026-06-22T00:00:00"/>
    <m/>
    <d v="2026-06-16T00:00:00"/>
    <m/>
    <d v="2026-06-14T00:00:00"/>
    <s v="Giovani Moura Sousa"/>
    <s v="Rafaela Almeida"/>
    <s v="Vereador Neto Santos_x000a_Giovani Moura Energisa"/>
    <s v="Giovani Moura Sousa"/>
    <s v=""/>
    <s v="Visita Domo de Ferro"/>
    <d v="2026-09-03T00:00:00"/>
    <s v="Moacir Costa Neto"/>
    <d v="2026-06-22T00:00:00"/>
    <s v="Rafaela Mattos de Almeida"/>
    <n v="25"/>
    <n v="25"/>
    <n v="25"/>
    <s v=""/>
    <m/>
    <s v=""/>
    <x v="5"/>
    <n v="123"/>
    <x v="0"/>
    <x v="1"/>
    <x v="0"/>
    <x v="0"/>
    <n v="21"/>
    <x v="7"/>
  </r>
  <r>
    <s v="334"/>
    <s v="Visita Domo de Ferro"/>
    <x v="4"/>
    <x v="1"/>
    <d v="2026-05-13T00:00:00"/>
    <s v="Avanildo do Nascimento Junior"/>
    <s v="Finalizada"/>
    <x v="1"/>
    <s v="Prefeitura de Paranaíba"/>
    <s v=""/>
    <s v=""/>
    <x v="3"/>
    <x v="30"/>
    <x v="0"/>
    <s v="Paranaíba"/>
    <s v="Assunto foram obras que ja estão em execução e assuntos diversos( orientação sobre iluminação pública, relocação de rede entre outros) Não havendo demandas a serem tratadas e ou priorizadas pela central."/>
    <d v="2026-06-09T00:00:00"/>
    <s v="Assunto foram obras que ja estão em execução e assuntos diversos( orientação sobre iluminação pública, relocação de rede entre outros) Não havendo demandas a serem tratadas e ou priorizadas pela central."/>
    <m/>
    <m/>
    <m/>
    <m/>
    <m/>
    <s v="Availdo Taveira de Oliveira"/>
    <s v=""/>
    <s v="Jane  - secretaria de educação, Vinicius secretaria de obra e Vice prefeito barbosinha"/>
    <s v="Fabricio Andre Silva de Araujo, Maxwell Ferreira Ossuna, Gabriel Yuji Takahashi"/>
    <s v=""/>
    <s v="Visita Domo de Ferro"/>
    <d v="2026-08-15T00:00:00"/>
    <s v="Moacir Costa Neto"/>
    <d v="2026-06-09T00:00:00"/>
    <s v="Danila Hertal Moreira Souza"/>
    <n v="100"/>
    <n v="100"/>
    <n v="50"/>
    <s v=""/>
    <m/>
    <s v=""/>
    <x v="11"/>
    <n v="131"/>
    <x v="0"/>
    <x v="1"/>
    <x v="0"/>
    <x v="0"/>
    <n v="104"/>
    <x v="1"/>
  </r>
  <r>
    <s v="335"/>
    <s v="Visita Domo de Ferro"/>
    <x v="4"/>
    <x v="1"/>
    <d v="2026-05-14T00:00:00"/>
    <s v="Availdo Taveira de Oliveira"/>
    <s v="Finalizada"/>
    <x v="1"/>
    <s v="Câmara de vereadores"/>
    <s v=""/>
    <s v=""/>
    <x v="3"/>
    <x v="16"/>
    <x v="2"/>
    <s v="Aparecida do Taboado"/>
    <s v="Visita foi para apresentar novo suervisor e coordenaação de opereração, beem como ouvir o presidente da camara e olher demandas._x000a_Também foi apresentado o supervisor de atendimento Maxwel que falou a respeito das melhorias implantadas em nosso loja de atendimento._x000a_Pela camara municipal não houve demanda que necessitasse de atuação e ou inclusão na central do cliente"/>
    <d v="2026-06-02T00:00:00"/>
    <s v="Visita foi para apresentar novo supervisor e coordenação de operação, bem como ouvir o presidente da câmara e colher demandas._x000a_Também foi apresentado o supervisor de atendimento Maxwel que falou a respeito das melhorias implantadas em nosso loja de atendimento._x000a_Pela camara municipal não houve demanda que necessitasse de atuação e ou inclusão na central do cliente"/>
    <m/>
    <m/>
    <m/>
    <m/>
    <m/>
    <s v="Availdo Taveira de Oliveira"/>
    <s v=""/>
    <s v="presidente da cama, Vereador Heberson Galter Custódio"/>
    <s v="Fabricio Cerchiari da Silva, Maxwell Ferreira Ossuna, Gabriel Yuji Takahashi"/>
    <s v=""/>
    <s v="Visita Domo de Ferro"/>
    <d v="2026-08-15T00:00:00"/>
    <s v="Moacir Costa Neto"/>
    <d v="2026-06-02T00:00:00"/>
    <s v="Danila Hertal Moreira Souza"/>
    <n v="25"/>
    <n v="25"/>
    <n v="12.5"/>
    <s v=""/>
    <m/>
    <s v=""/>
    <x v="11"/>
    <n v="130"/>
    <x v="0"/>
    <x v="1"/>
    <x v="0"/>
    <x v="0"/>
    <n v="111"/>
    <x v="1"/>
  </r>
  <r>
    <s v="364"/>
    <s v="Visita Domo de Ferro"/>
    <x v="3"/>
    <x v="0"/>
    <d v="2026-05-26T00:00:00"/>
    <s v="Aline da Silva Mesquita"/>
    <s v="Em Andamento"/>
    <x v="0"/>
    <s v=""/>
    <s v=""/>
    <s v=""/>
    <x v="1"/>
    <x v="7"/>
    <x v="3"/>
    <s v="Campo Grande"/>
    <s v="OF. n° 0100/GAB JN/2026, e disparar para o DEOP e DCMD, oirgem: DPRE"/>
    <d v="2026-05-26T00:00:00"/>
    <s v=" manutenção da rede de energia elétrica, bem como a substituição do transformador da linha de transmissão localizada na Fazenda Palmeiras, Indubrasil, Vila Entrocamento, Campo Grande/MS (UC 10/1543-8)."/>
    <d v="2026-08-28T00:00:00"/>
    <m/>
    <d v="2026-06-15T00:00:00"/>
    <m/>
    <m/>
    <s v="Evair Rogerio da Conceição"/>
    <s v="Wander Machado"/>
    <s v="Aline Mesquita"/>
    <s v=""/>
    <s v=""/>
    <s v="Visita Domo de Ferro"/>
    <d v="2026-09-03T00:00:00"/>
    <s v="Moacir Costa Neto"/>
    <d v="2026-08-28T00:00:00"/>
    <s v="Wander Idalino Machado"/>
    <n v="100"/>
    <n v="100"/>
    <n v="100"/>
    <s v=""/>
    <m/>
    <s v=""/>
    <x v="5"/>
    <n v="118"/>
    <x v="0"/>
    <x v="0"/>
    <x v="0"/>
    <x v="0"/>
    <n v="94"/>
    <x v="3"/>
  </r>
  <r>
    <s v="364"/>
    <s v="Visita Domo de Ferro"/>
    <x v="2"/>
    <x v="2"/>
    <d v="2026-05-26T00:00:00"/>
    <s v="Aline da Silva Mesquita"/>
    <s v="Em Andamento"/>
    <x v="1"/>
    <s v=""/>
    <s v=""/>
    <s v=""/>
    <x v="1"/>
    <x v="7"/>
    <x v="3"/>
    <s v="Campo Grande"/>
    <s v="OF. n° 0100/GAB JN/2026, e disparar para o DEOP e DCMD, oirgem: DPRE"/>
    <d v="2026-05-26T00:00:00"/>
    <s v=" manutenção da rede de energia elétrica, bem como a substituição do transformador da linha de transmissão localizada na Fazenda Palmeiras, Indubrasil, Vila Entrocamento, Campo Grande/MS (UC10/1543-8)."/>
    <d v="2026-08-13T00:00:00"/>
    <m/>
    <d v="2026-06-15T00:00:00"/>
    <m/>
    <d v="2026-08-13T00:00:00"/>
    <s v="Luan Henrique Soares Diniz Afonso"/>
    <s v="Bruna Santos"/>
    <s v="Aline Mesquita"/>
    <s v=""/>
    <s v=""/>
    <s v="Visita Domo de Ferro"/>
    <d v="2026-09-03T00:00:00"/>
    <s v="Moacir Costa Neto"/>
    <d v="2026-08-13T00:00:00"/>
    <s v="Bruna Fabiana Braguin dos Santos"/>
    <n v="100"/>
    <n v="100"/>
    <n v="100"/>
    <s v=""/>
    <m/>
    <s v=""/>
    <x v="5"/>
    <n v="118"/>
    <x v="0"/>
    <x v="0"/>
    <x v="0"/>
    <x v="0"/>
    <n v="79"/>
    <x v="2"/>
  </r>
  <r>
    <s v="388"/>
    <s v="Visita Domo de Ferro"/>
    <x v="3"/>
    <x v="0"/>
    <d v="2026-05-29T00:00:00"/>
    <s v="Giovani Moura Sousa"/>
    <s v="Em Andamento"/>
    <x v="0"/>
    <s v=""/>
    <s v=""/>
    <s v=""/>
    <x v="0"/>
    <x v="18"/>
    <x v="2"/>
    <s v="Amambai"/>
    <s v="Reunião solicitada pelo Vereador Paulo Sérgio para melhorias da qualidade de energia na área rural de Amambai e também comércio e indústrias.  Solicitaram melhorias nas redes"/>
    <d v="2026-07-01T00:00:00"/>
    <s v="Reunião solicitada pelo Vereador Paulo Sérgio para melhorias da qualidade de energia na área rural de Amambai e também comércio e indústrias.  Solicitaram melhorias nas redes._x000a_ DEOP: Identificado apenas mais 2 blocos Rurais com expressiva quantidade de aberturas e ainda não contemplados no Plano de Manutenção (lista abaixo), os demais blocos já mapeados em com avanço de manutenção em 2026: RD(736506) - AMA01 - RD(8289) - CAA51."/>
    <d v="2026-08-28T00:00:00"/>
    <m/>
    <m/>
    <d v="2026-08-27T00:00:00"/>
    <m/>
    <s v="Evair Rogerio da Conceicao"/>
    <s v="Bruna Santos"/>
    <s v="Vereadores Paulo e Sizana"/>
    <s v="Giovani Moura Sousa"/>
    <s v=""/>
    <s v="Visita Domo de Ferro"/>
    <d v="2026-09-03T00:00:00"/>
    <s v="Moacir Costa Neto"/>
    <d v="2026-08-28T00:00:00"/>
    <s v="Bruna Fabiana Braguin dos Santos"/>
    <n v="25"/>
    <n v="25"/>
    <n v="25"/>
    <s v=""/>
    <m/>
    <s v=""/>
    <x v="0"/>
    <n v="115"/>
    <x v="0"/>
    <x v="1"/>
    <x v="0"/>
    <x v="0"/>
    <n v="58"/>
    <x v="3"/>
  </r>
  <r>
    <s v="388"/>
    <s v="Visita Domo de Ferro"/>
    <x v="2"/>
    <x v="2"/>
    <d v="2026-05-29T00:00:00"/>
    <s v="Giovani Moura Sousa"/>
    <s v="Em Andamento"/>
    <x v="1"/>
    <s v=""/>
    <s v=""/>
    <s v=""/>
    <x v="0"/>
    <x v="18"/>
    <x v="2"/>
    <s v="Amambai"/>
    <s v="Reunião solicitada pelo Vereador Paulo Sérgio para melhorias da qualidade de energia na área rural de Amambai e também comércio e indústrias.  Solicitaram melhorias nas redes"/>
    <d v="2026-06-02T00:00:00"/>
    <s v="Reunião solicitada pelo Vereador Paulo Sérgio para melhorias da qualidade de energia na área rural de Amambai e também comércio e indústrias.  Solicitaram melhorias nas redes"/>
    <d v="2026-06-29T00:00:00"/>
    <m/>
    <m/>
    <m/>
    <m/>
    <s v="Gerson Mendes Ortiz"/>
    <s v="Gerson Ortiz"/>
    <s v="Vereadores Paulo e Sizana"/>
    <s v="Giovani Moura Sousa"/>
    <s v=""/>
    <s v="Visita Domo de Ferro"/>
    <d v="2026-09-03T00:00:00"/>
    <s v="Moacir Costa Neto"/>
    <d v="2026-06-29T00:00:00"/>
    <s v="Gerson Mendes Ortiz"/>
    <n v="25"/>
    <n v="25"/>
    <n v="62.5"/>
    <s v=""/>
    <m/>
    <s v=""/>
    <x v="0"/>
    <n v="115"/>
    <x v="0"/>
    <x v="1"/>
    <x v="0"/>
    <x v="0"/>
    <n v="27"/>
    <x v="2"/>
  </r>
  <r>
    <s v="448"/>
    <s v="Visita Domo de Ferro"/>
    <x v="5"/>
    <x v="0"/>
    <d v="2025-12-09T00:00:00"/>
    <s v="Giovani Moura Sousa"/>
    <s v="Em Andamento"/>
    <x v="0"/>
    <s v=""/>
    <s v=""/>
    <s v=""/>
    <x v="0"/>
    <x v="38"/>
    <x v="0"/>
    <s v="Nova Alvorada do Sul"/>
    <s v="Origem Externa: Visita in loco_x000a_Nome do Solicitante: Prefeito Sr. José Paulo, Vereadores Junior Beraldi, Rodrigo Cowboi,_x000a_Rozidalia Reis, Nelson Fernandes secretário de Obras, Valdemar Rocha_x000a_Vice-Prefeito, Leandro Barbosa Presidente do sindicato Rural, Sandra Pereira da_x000a_associação comercial, Giliani Rodrigues, Emanuel e Sintia representantes da_x000a_Indústria Atvos._x000a_Número Ofício: N/A_x000a_OS: N/A_x000a_Manifestação: Foi realizado a visita in loco pelo Giovani e foi recebido a demanda de podas de árvores no trecho da BR 163 localizada entre Nova_x000a_Alvorada do Sul e a Ponte seca."/>
    <d v="2026-06-05T00:00:00"/>
    <s v="Manifestação: Foi realizado a visita in loco pelo Giovani e foi recebido a demanda de podas de árvores no trecho da BR 163 localizada entre Nova_x000a_Alvorada do Sul e a Ponte seca._x000a_Status atual: Em atuação campo (DEOP/DCMD)"/>
    <d v="2026-08-18T00:00:00"/>
    <s v="QUAL STATUS DAS AÇÕES DE CAMPO?"/>
    <m/>
    <m/>
    <m/>
    <s v="Evair Rogerio da Conceicao"/>
    <s v="Bruna Santos"/>
    <m/>
    <s v="Giovani Moura Sousa"/>
    <s v=""/>
    <s v="Visita Domo de Ferro"/>
    <d v="2026-08-18T00:00:00"/>
    <s v="Bruna Fabiana Braguin dos Santos"/>
    <d v="2026-08-18T00:00:00"/>
    <s v="Bruna Fabiana Braguin dos Santos"/>
    <n v="100"/>
    <n v="100"/>
    <n v="100"/>
    <s v=""/>
    <m/>
    <s v=""/>
    <x v="1"/>
    <n v="286"/>
    <x v="0"/>
    <x v="1"/>
    <x v="0"/>
    <x v="0"/>
    <n v="74"/>
    <x v="3"/>
  </r>
  <r>
    <s v="449"/>
    <s v="Visita Domo de Ferro"/>
    <x v="2"/>
    <x v="0"/>
    <d v="2025-12-01T00:00:00"/>
    <s v="Dian Cleiton de Brito"/>
    <s v="Em Andamento"/>
    <x v="0"/>
    <s v=""/>
    <s v=""/>
    <s v=""/>
    <x v="1"/>
    <x v="24"/>
    <x v="2"/>
    <s v="Inocência"/>
    <s v="Origem Externa: Câmara Municipal de Inocência_x000a_Nome do Solicitante: Valmes José de Carvalho_x000a_Número Ofício: 279/2025/GAB/CMI_x000a_Os: 479315607_x000a_Manifestação: Ofício encaminha solicitação de estudo visando solucionar as constantes quedas de energia na Rua Francklin Gomes da Silva, Jardim Bocaina, no município de Incoência._x000a__x000a_Domo de ferro: Foi realizado visita in loco pelo Dian, conversado com o Vice Prefeito Henrique e foi levantado as seguintes informações relacionadas a qualidade: Religamentos no município todo dia das 18 às 20hrs, Fábrica de gelo com oscilação e queima de equipamentos, trecho TD 734803 e Quedas de energia na R: Pernambuco em frente ao Mercado M &amp; M, casa da vereadora Joceana._x000a__x000a_Status atual: Em atuação campo (DEOP/DCMD)"/>
    <d v="2026-06-05T00:00:00"/>
    <s v="Domo de ferro: Foi realizado visita in loco pelo Dian, conversado com o Vice Prefeito Henrique e foi levantado as seguintes informações relacionadas a qualidade: Religamentos no município todo dia das 18 às 20hrs, Fábrica de gelo com oscilação e queima de equipamentos, trecho TD 734803 e Quedas de energia na R: Pernambuco em frente ao Mercado M &amp; M, casa da vereadora Joceana._x000a__x000a_Status atual: Em atuação campo (DEOP/DCMD)_x000a__x000a_QUAL STATUS DAS AÇÕES?"/>
    <d v="2026-08-18T00:00:00"/>
    <m/>
    <m/>
    <m/>
    <m/>
    <s v=" Evair Rogerio da Conceicao"/>
    <s v="Bruna Santos"/>
    <m/>
    <s v="Dian Cleiton de Brito"/>
    <s v=""/>
    <s v="Visita Domo de Ferro"/>
    <d v="2026-08-18T00:00:00"/>
    <s v="Bruna Fabiana Braguin dos Santos"/>
    <d v="2026-08-18T00:00:00"/>
    <s v="Bruna Fabiana Braguin dos Santos"/>
    <n v="25"/>
    <n v="25"/>
    <n v="25"/>
    <s v=""/>
    <m/>
    <s v=""/>
    <x v="11"/>
    <n v="294"/>
    <x v="0"/>
    <x v="1"/>
    <x v="0"/>
    <x v="0"/>
    <n v="74"/>
    <x v="3"/>
  </r>
  <r>
    <s v="455"/>
    <s v="Visita Domo de Ferro"/>
    <x v="3"/>
    <x v="0"/>
    <d v="2025-12-09T00:00:00"/>
    <s v="Dian Cleiton de Brito"/>
    <s v="Em Andamento"/>
    <x v="0"/>
    <s v=""/>
    <s v=""/>
    <s v=""/>
    <x v="2"/>
    <x v="46"/>
    <x v="0"/>
    <s v="Bonito"/>
    <s v="Origem Externa: Visita in loco_x000a__x000a_Nome do Solicitante: Prefeitura_x000a__x000a_Número Ofício: N/A_x000a__x000a_OS: N/A_x000a__x000a_Manifestação: Em visita realizada no município pelo Dian foram coletadas algumas demandas, segue as demandas solicitadas: Limpeza de faixa mecanizada - LM entre ID 9070606 e ID_x000a_9070607 (CRÍTICO), Lançado 450 MTS LIMPEZA de faixa LM entre ID 8615174 e ID_x000a_9046178 (URGENTE), Lançado 220 MTS limpeza de faixa LM entre ID 135469229 e ID_x000a_9046694 (URGENTE) e Lançado 300 MTS limpeza de faixa LM entre ID 9553699 e ID_x000a_9563035 (URGENTE)"/>
    <d v="2026-06-05T00:00:00"/>
    <s v="Manifestação: Em visita realizada no município pelo Dian foram coletadas algumas demandas, segue as demandas solicitadas: Limpeza de faixa mecanizada - LM entre ID 9070606 e ID_x000a_9070607 (CRÍTICO), Lançado 450 MTS LIMPEZA de faixa LM entre ID 8615174 e ID_x000a_9046178 (URGENTE), Lançado 220 MTS limpeza de faixa LM entre ID 135469229 e ID_x000a_9046694 (URGENTE) e Lançado 300 MTS limpeza de faixa LM entre ID 9553699 e ID_x000a_9563035 (URGENTE)_x000a_Status atual: Em atuação campo (DEOP/DCMD)_x000a__x000a_QUAL STATUS DAS AÇÕES?"/>
    <d v="2026-08-18T00:00:00"/>
    <m/>
    <m/>
    <m/>
    <m/>
    <s v="Evair Rogerio da Conceicao"/>
    <s v="Bruna Santos"/>
    <m/>
    <s v="Dian Cleiton de Brito"/>
    <s v=""/>
    <s v="Visita Domo de Ferro"/>
    <d v="2026-08-18T00:00:00"/>
    <s v="Bruna Fabiana Braguin dos Santos"/>
    <d v="2026-08-18T00:00:00"/>
    <s v="Bruna Fabiana Braguin dos Santos"/>
    <n v="100"/>
    <n v="100"/>
    <n v="100"/>
    <s v=""/>
    <m/>
    <s v=""/>
    <x v="12"/>
    <n v="286"/>
    <x v="0"/>
    <x v="1"/>
    <x v="0"/>
    <x v="0"/>
    <n v="74"/>
    <x v="3"/>
  </r>
  <r>
    <s v="456"/>
    <s v="Visita Domo de Ferro"/>
    <x v="5"/>
    <x v="0"/>
    <d v="2025-12-09T00:00:00"/>
    <s v="Giovani Moura Sousa"/>
    <s v="Em Andamento"/>
    <x v="0"/>
    <s v=""/>
    <s v=""/>
    <s v=""/>
    <x v="1"/>
    <x v="32"/>
    <x v="0"/>
    <s v="Sidrolândia"/>
    <s v="Origem Externa: Visita in loco_x000a_Nome do Solicitante: Secretário de Obras Sr. Cleyton_x000a_Número Ofício: N/A_x000a_OS: N/A_x000a_Manifestação: Foi realizado a visita in loco no município pelo Giovani e foi coletada a demanda de poda no Assentamento Eldorado II. Município Sidrolândia"/>
    <d v="2026-06-05T00:00:00"/>
    <s v="Status atual: Em atuação campo (DEOP/DCMD)_x000a_Manifestação: Foi realizado a visita in loco no município pelo Giovani e foi coletada a demanda de poda no Assentamento Eldorado II. Município Sidrolândia_x000a__x000a_QUAL STATUS DAS AÇÕES?"/>
    <d v="2026-08-18T00:00:00"/>
    <m/>
    <m/>
    <m/>
    <m/>
    <s v="Evair Rogerio da Conceicao"/>
    <s v="Bruna Santos"/>
    <m/>
    <s v="Giovani Moura Sousa"/>
    <s v=""/>
    <s v="Visita Domo de Ferro"/>
    <d v="2026-08-18T00:00:00"/>
    <s v="Bruna Fabiana Braguin dos Santos"/>
    <d v="2026-08-18T00:00:00"/>
    <s v="Bruna Fabiana Braguin dos Santos"/>
    <n v="100"/>
    <n v="100"/>
    <n v="100"/>
    <s v=""/>
    <m/>
    <s v=""/>
    <x v="8"/>
    <n v="286"/>
    <x v="0"/>
    <x v="1"/>
    <x v="0"/>
    <x v="0"/>
    <n v="74"/>
    <x v="3"/>
  </r>
  <r>
    <s v="457"/>
    <s v="Visita Domo de Ferro"/>
    <x v="3"/>
    <x v="0"/>
    <d v="2025-12-09T00:00:00"/>
    <s v="Dian Cleiton de Brito"/>
    <s v="Em Andamento"/>
    <x v="0"/>
    <s v=""/>
    <s v="2496509"/>
    <s v=""/>
    <x v="1"/>
    <x v="24"/>
    <x v="2"/>
    <s v="Inocência"/>
    <s v="Origem Externa: Visita in loco_x000a_Nome do Solicitante: Vereador Shell_x000a_Número Ofício: N/A_x000a_OS: N/A_x000a_Manifestação: Foi realizado a visita in loco pelo Dian e foi recebido a demanda de manutenção na UC 2496509, trata-se de um produtor de leite. UC 2496509 - Fazenda Santa Maria (Inocência)"/>
    <d v="2026-06-05T00:00:00"/>
    <s v="Status atual: Em atuação campo (DEOP/DCMD)_x000a_Manifestação: Foi realizado a visita in loco pelo Dian e foi recebido a demanda de manutenção na UC 2496509, trata-se de um produtor de leite. UC 2496509 - Fazenda Santa Maria (Inocência)_x000a__x000a_QUAL STATUS DAS AÇÕES?"/>
    <d v="2026-08-18T00:00:00"/>
    <m/>
    <m/>
    <m/>
    <m/>
    <s v="Evair Rogerio da Conceicao"/>
    <s v="Bruna Santos"/>
    <m/>
    <s v="Dian Cleiton de Brito"/>
    <s v=""/>
    <s v="Visita Domo de Ferro"/>
    <d v="2026-08-18T00:00:00"/>
    <s v="Bruna Fabiana Braguin dos Santos"/>
    <d v="2026-08-18T00:00:00"/>
    <s v="Bruna Fabiana Braguin dos Santos"/>
    <n v="25"/>
    <n v="25"/>
    <n v="25"/>
    <s v=""/>
    <m/>
    <s v=""/>
    <x v="11"/>
    <n v="286"/>
    <x v="0"/>
    <x v="1"/>
    <x v="0"/>
    <x v="0"/>
    <n v="74"/>
    <x v="3"/>
  </r>
  <r>
    <s v="458"/>
    <s v="Visita Domo de Ferro"/>
    <x v="3"/>
    <x v="0"/>
    <d v="2025-12-10T00:00:00"/>
    <s v="Giovani Moura Sousa"/>
    <s v="Em Andamento"/>
    <x v="0"/>
    <s v=""/>
    <s v=""/>
    <s v=""/>
    <x v="1"/>
    <x v="11"/>
    <x v="0"/>
    <s v="Ribas do Rio Pardo"/>
    <s v="Origem Externa: Visita in loco_x000a_Nome do Solicitante: Prefeito Roberson e a Vereadora e Presidente da Câmara Sra. Tânia_x000a_Número Ofício: N/A_x000a_OS: N/A_x000a_Manifestação: Foi realizado a visita in loco pelo Giovani e foi recebido a demanda de poda na faixa de servidão no Ass. Nossa Senhora das Graças no município de Ribas do Rio Pardo."/>
    <d v="2026-06-05T00:00:00"/>
    <s v="Status atual: Em atuação campo (DEOP/DCMD)_x000a_Manifestação: Foi realizado a visita in loco pelo Giovani e foi recebido a demanda de poda na faixa de servidão no Ass. Nossa Senhora das Graças no município de Ribas do Rio Pardo._x000a__x000a_QUAL STATUS DAS AÇÕES?"/>
    <d v="2026-08-18T00:00:00"/>
    <m/>
    <m/>
    <m/>
    <m/>
    <s v="Evair Rogerio da Conceicao"/>
    <s v="Bruna Santos"/>
    <m/>
    <s v="Giovani Moura Sousa"/>
    <s v=""/>
    <s v="Visita Domo de Ferro"/>
    <d v="2026-08-18T00:00:00"/>
    <s v="Bruna Fabiana Braguin dos Santos"/>
    <d v="2026-08-18T00:00:00"/>
    <s v="Bruna Fabiana Braguin dos Santos"/>
    <n v="100"/>
    <n v="100"/>
    <n v="100"/>
    <s v=""/>
    <m/>
    <s v=""/>
    <x v="8"/>
    <n v="285"/>
    <x v="0"/>
    <x v="1"/>
    <x v="0"/>
    <x v="0"/>
    <n v="74"/>
    <x v="3"/>
  </r>
  <r>
    <s v="459"/>
    <s v="Visita Domo de Ferro"/>
    <x v="2"/>
    <x v="2"/>
    <d v="2025-12-10T00:00:00"/>
    <s v="Dian Cleiton de Brito"/>
    <s v="Em Andamento"/>
    <x v="2"/>
    <s v="Prefeitura Municipal Bonito"/>
    <s v=""/>
    <s v=""/>
    <x v="2"/>
    <x v="46"/>
    <x v="0"/>
    <s v="Bonito"/>
    <s v="Origem Externa: Visita in loco_x000a_Nome do Solicitante: Prefeitura municipal_x000a_Número Ofício: N/A_x000a_OS: N/A_x000a_Manifestação: Foi realizado a visita in loco pelo Dian e foi recebido a demanda de qualidade no fornecimento -_x000a_Gruta do Lago Azul, Pousada Boyra, Bon Bom no município de Bonito."/>
    <d v="2026-08-18T00:00:00"/>
    <s v="GENTILEZA SEGUIR COM AS AÇÕES."/>
    <m/>
    <m/>
    <m/>
    <m/>
    <m/>
    <s v="Luan Henrique Soares Diniz Afonso"/>
    <s v=""/>
    <m/>
    <s v="Dian Cleiton de Brito"/>
    <s v=""/>
    <s v="Visita Domo de Ferro"/>
    <d v="2026-09-03T00:00:00"/>
    <s v="Moacir Costa Neto"/>
    <d v="2026-08-18T00:00:00"/>
    <s v="Bruna Fabiana Braguin dos Santos"/>
    <n v="100"/>
    <n v="100"/>
    <n v="50"/>
    <s v="Qualidade do produto"/>
    <m/>
    <s v="DEOP - QUALIDADE"/>
    <x v="12"/>
    <n v="285"/>
    <x v="0"/>
    <x v="1"/>
    <x v="0"/>
    <x v="0"/>
    <n v="34"/>
    <x v="2"/>
  </r>
  <r>
    <s v="533"/>
    <s v="Visita Domo de Ferro"/>
    <x v="4"/>
    <x v="1"/>
    <d v="2026-06-09T00:00:00"/>
    <s v="Giovani Moura Sousa"/>
    <s v="Finalizada"/>
    <x v="1"/>
    <s v=""/>
    <s v=""/>
    <s v=""/>
    <x v="1"/>
    <x v="7"/>
    <x v="2"/>
    <s v="Campo Grande"/>
    <s v="Visita ao Gabinete do Vereador para atendimento de demandas rotineiras oriundas de seu gabinete."/>
    <d v="2026-06-16T00:00:00"/>
    <s v="Visita ao Gabinete do Vereador para atendimento de demandas rotineiras oriundas de seu gabinete. (Visita de Cortesia)"/>
    <m/>
    <m/>
    <m/>
    <m/>
    <m/>
    <s v="Giovani Moura Sousa"/>
    <s v=""/>
    <s v="Vereador Carlão_x000a_Assessora Ilma_x000a_Giovani Moura"/>
    <s v="Giovani Moura Sousa"/>
    <s v=""/>
    <s v="Visita Domo de Ferro"/>
    <d v="2026-09-03T00:00:00"/>
    <s v="Moacir Costa Neto"/>
    <d v="2026-06-16T00:00:00"/>
    <s v="Danila Hertal Moreira Souza"/>
    <n v="25"/>
    <n v="25"/>
    <n v="12.5"/>
    <s v=""/>
    <m/>
    <s v=""/>
    <x v="5"/>
    <n v="104"/>
    <x v="0"/>
    <x v="1"/>
    <x v="0"/>
    <x v="0"/>
    <n v="97"/>
    <x v="7"/>
  </r>
  <r>
    <s v="534"/>
    <s v="Visita Domo de Ferro"/>
    <x v="4"/>
    <x v="1"/>
    <d v="2026-06-09T00:00:00"/>
    <s v="Giovani Moura Sousa"/>
    <s v="Finalizada"/>
    <x v="1"/>
    <s v=""/>
    <s v=""/>
    <s v=""/>
    <x v="1"/>
    <x v="7"/>
    <x v="2"/>
    <s v="Campo Grande"/>
    <s v="Atendimento ao gabinete do vereador para trataivas das demandas solicitadas."/>
    <d v="2026-06-16T00:00:00"/>
    <s v="Atendimento ao gabinete do vereador para trataivas das demandas solicitadas. Visita de cortesia"/>
    <m/>
    <m/>
    <m/>
    <m/>
    <m/>
    <s v="Giovani Moura Sousa"/>
    <s v=""/>
    <s v="Vereador Rafael Tavares_x000a_Assessoria do gabinete_x000a_Giovani Moura"/>
    <s v="Giovani Moura Sousa"/>
    <s v=""/>
    <s v="Visita Domo de Ferro"/>
    <d v="2026-09-03T00:00:00"/>
    <s v="Moacir Costa Neto"/>
    <d v="2026-06-16T00:00:00"/>
    <s v="Danila Hertal Moreira Souza"/>
    <n v="25"/>
    <n v="25"/>
    <n v="12.5"/>
    <s v=""/>
    <m/>
    <s v=""/>
    <x v="5"/>
    <n v="104"/>
    <x v="0"/>
    <x v="1"/>
    <x v="0"/>
    <x v="0"/>
    <n v="97"/>
    <x v="7"/>
  </r>
  <r>
    <s v="535"/>
    <s v="Visita Domo de Ferro"/>
    <x v="4"/>
    <x v="1"/>
    <d v="2026-06-09T00:00:00"/>
    <s v="Giovani Moura Sousa"/>
    <s v="Finalizada"/>
    <x v="1"/>
    <s v=""/>
    <s v=""/>
    <s v=""/>
    <x v="1"/>
    <x v="7"/>
    <x v="2"/>
    <s v="Campo Grande"/>
    <s v="Visita ao gabinete do Vereador para atendimento de demandas solicitadas junto à Concessionária"/>
    <d v="2026-06-16T00:00:00"/>
    <s v="Visita de Cortesia. Visita ao gabinete do Vereador para atendimento de demandas solicitadas junto à Concessionária"/>
    <m/>
    <m/>
    <m/>
    <m/>
    <m/>
    <s v="Giovani Moura Sousa"/>
    <s v=""/>
    <s v="Vereador marquinhos Trad"/>
    <s v="Giovani Moura Sousa"/>
    <s v=""/>
    <s v="Visita Domo de Ferro"/>
    <d v="2026-09-03T00:00:00"/>
    <s v="Moacir Costa Neto"/>
    <d v="2026-06-16T00:00:00"/>
    <s v="Danila Hertal Moreira Souza"/>
    <n v="25"/>
    <n v="25"/>
    <n v="12.5"/>
    <s v=""/>
    <m/>
    <s v=""/>
    <x v="5"/>
    <n v="104"/>
    <x v="0"/>
    <x v="1"/>
    <x v="0"/>
    <x v="0"/>
    <n v="97"/>
    <x v="7"/>
  </r>
  <r>
    <s v="549"/>
    <s v="Visita Domo de Ferro"/>
    <x v="2"/>
    <x v="2"/>
    <d v="2026-05-13T00:00:00"/>
    <s v="Dian Cleiton de Brito"/>
    <s v="Em Andamento"/>
    <x v="2"/>
    <s v=""/>
    <s v=""/>
    <s v=""/>
    <x v="0"/>
    <x v="33"/>
    <x v="0"/>
    <s v="Jateí"/>
    <s v="Origem: Dian Cleiton._x000a_Anexado apresentação das demandas realizada na visita junto a prefeita e o Dian Cleiton,_x000a_Em resumo das demandas em anexo são:_x000a_Qualidade - Sobrecarga Bairro Portal do Sol, nas referências elétricas TD 748480/748483/705324/705323/9631 - GD002._x000a_Falta de energia: Gleba Nova Esperança e tem uma escola com mais de 200 alunos. Referência elétricas: TD 35070/34501/719015/ NHS01._x000a_Manutenção: informaram que existe uma demanda para troca de postes de madeira de eucalipto. Foi informado a prefeitura que seria checado e seria dado uma devolutiva._x000a_Não contém anexos._x000a_Diagnóstico Qualidade (DEOP/DCMD)"/>
    <d v="2026-06-10T00:00:00"/>
    <s v="Qualidade - Sobrecarga Bairro Portal do Sol, nas referências elétricas TD 748480/748483/705324/705323/9631 - GD002._x000a_Falta de energia: Gleba Nova Esperança e tem uma escola com mais de 200 alunos. Referência elétricas: TD 35070/34501/719015/ NHS01._x000a_Manutenção: informaram que existe uma demanda para troca de postes de madeira de eucalipto. Foi informado a prefeitura que seria checado e seria dado uma devolutiva._x000a_Diagnóstico Qualidade (DEOP/DCMD)_x000a_QUAL STATUS DAS AÇÕES?"/>
    <d v="2026-08-18T00:00:00"/>
    <m/>
    <m/>
    <m/>
    <m/>
    <s v="Luan Henrique Soares Diniz Afonso"/>
    <s v="Bruna Santos"/>
    <s v="Prefeita de Jateí"/>
    <s v="Dian Cleiton de Brito"/>
    <s v=""/>
    <s v="Visita Domo de Ferro"/>
    <d v="2026-08-18T00:00:00"/>
    <s v="Bruna Fabiana Braguin dos Santos"/>
    <d v="2026-08-18T00:00:00"/>
    <s v="Bruna Fabiana Braguin dos Santos"/>
    <n v="100"/>
    <n v="100"/>
    <n v="100"/>
    <s v=""/>
    <m/>
    <s v=""/>
    <x v="10"/>
    <n v="131"/>
    <x v="0"/>
    <x v="1"/>
    <x v="0"/>
    <x v="0"/>
    <n v="69"/>
    <x v="2"/>
  </r>
  <r>
    <s v="550"/>
    <s v="Visita Domo de Ferro"/>
    <x v="2"/>
    <x v="0"/>
    <d v="2026-05-12T00:00:00"/>
    <s v="Giovani Moura Sousa"/>
    <s v="Em Andamento"/>
    <x v="2"/>
    <s v=""/>
    <s v="3742758"/>
    <s v=""/>
    <x v="0"/>
    <x v="13"/>
    <x v="2"/>
    <s v="Dourados"/>
    <s v="Origem: Agente de relacionamento Giovani Moura_x000a_Vereador solicitou revisão no sistema elétrico nos bairros Novo Horizonte e Altos do Indaiá em Dourados. Protocolo 9500628194. UC 3742758._x000a_Em atuação Campo (DEOP/DCMD)."/>
    <d v="2026-06-10T00:00:00"/>
    <s v="Origem: Agente de relacionamento Giovani Moura_x000a_Vereador solicitou revisão no sistema elétrico nos bairros Novo Horizonte e Altos do Indaiá em Dourados. Protocolo 9500628194. UC 3742758._x000a_Em atuação Campo (DEOP/DCMD)._x000a_QUAL STATUS DAS AÇÕES?"/>
    <d v="2026-08-18T00:00:00"/>
    <m/>
    <m/>
    <m/>
    <m/>
    <s v="Evair Rogerio da Conceicao"/>
    <s v="Bruna Santos"/>
    <s v="Vereador."/>
    <s v="Giovani Moura Sousa"/>
    <s v=""/>
    <s v="Visita Domo de Ferro"/>
    <d v="2026-08-18T00:00:00"/>
    <s v="Bruna Fabiana Braguin dos Santos"/>
    <d v="2026-08-18T00:00:00"/>
    <s v="Bruna Fabiana Braguin dos Santos"/>
    <n v="25"/>
    <n v="25"/>
    <n v="25"/>
    <s v=""/>
    <m/>
    <s v=""/>
    <x v="10"/>
    <n v="132"/>
    <x v="0"/>
    <x v="1"/>
    <x v="0"/>
    <x v="0"/>
    <n v="69"/>
    <x v="3"/>
  </r>
  <r>
    <s v="550"/>
    <s v="Visita Domo de Ferro"/>
    <x v="2"/>
    <x v="2"/>
    <d v="2026-05-12T00:00:00"/>
    <s v="Giovani Moura Sousa"/>
    <s v="Em Andamento"/>
    <x v="2"/>
    <s v=""/>
    <s v="3742758"/>
    <s v=""/>
    <x v="0"/>
    <x v="13"/>
    <x v="2"/>
    <s v="Dourados"/>
    <s v="Origem: Agente de relacionamento Giovani Moura_x000a_Vereador solicitou revisão no sistema elétrico nos bairros Novo Horizonte e Altos do Indaiá em Dourados. Protocolo 9500628194. UC 3742758._x000a_Em atuação Campo (DEOP/DCMD)."/>
    <d v="2026-06-10T00:00:00"/>
    <s v="Origem: Agente de relacionamento Giovani Moura_x000a_Vereador solicitou revisão no sistema elétrico nos bairros Novo Horizonte e Altos do Indaiá em Dourados. Protocolo 9500628194. UC 3742758._x000a_Em atuação Campo (DEOP/DCMD)._x000a_QUAL STATUS DAS AÇÕES?"/>
    <d v="2026-08-18T00:00:00"/>
    <m/>
    <m/>
    <m/>
    <m/>
    <s v="Luan Henrique Soares Diniz Afonso"/>
    <s v="Bruna Santos"/>
    <s v="Vereador."/>
    <s v="Giovani Moura Sousa"/>
    <s v=""/>
    <s v="Visita Domo de Ferro"/>
    <d v="2026-08-18T00:00:00"/>
    <s v="Bruna Fabiana Braguin dos Santos"/>
    <d v="2026-08-18T00:00:00"/>
    <s v="Bruna Fabiana Braguin dos Santos"/>
    <n v="25"/>
    <n v="25"/>
    <n v="25"/>
    <s v=""/>
    <m/>
    <s v=""/>
    <x v="10"/>
    <n v="132"/>
    <x v="0"/>
    <x v="1"/>
    <x v="0"/>
    <x v="0"/>
    <n v="69"/>
    <x v="1"/>
  </r>
  <r>
    <s v="633"/>
    <s v="Visita Domo de Ferro"/>
    <x v="4"/>
    <x v="3"/>
    <d v="2026-06-16T00:00:00"/>
    <s v="Dian Cleiton de Brito"/>
    <s v="Finalizada"/>
    <x v="1"/>
    <s v="AMBIENTAL MS PANTANAL SPE S/A"/>
    <s v=""/>
    <s v="0502600350"/>
    <x v="0"/>
    <x v="9"/>
    <x v="0"/>
    <s v="Itaquiraí"/>
    <s v="Prefeito solicita agilizar obra de estação elevatória de esgoto em Itaquirai._x000a_OS  526116221_x000a_Obra 0502600350"/>
    <d v="2026-06-19T00:00:00"/>
    <s v="Duplicidade de ID - esta em tratativa pelo ID 633_x000a_Prefeito solicita agilizar obra de estação elevatória de esgoto em Itaquirai._x000a_OS  526116221_x000a_Obra 0502600350"/>
    <m/>
    <m/>
    <m/>
    <m/>
    <m/>
    <s v="Danila Hertal Moreira Souza"/>
    <s v=""/>
    <s v="Thalles Tomazelli"/>
    <s v="Dian Cleiton de Brito"/>
    <s v=""/>
    <s v="Visita Domo de Ferro"/>
    <d v="2026-08-25T00:00:00"/>
    <s v="Moacir Costa Neto"/>
    <d v="2026-06-19T00:00:00"/>
    <s v="Danila Hertal Moreira Souza"/>
    <n v="100"/>
    <n v="100"/>
    <n v="50"/>
    <s v=""/>
    <m/>
    <s v=""/>
    <x v="4"/>
    <n v="97"/>
    <x v="0"/>
    <x v="1"/>
    <x v="0"/>
    <x v="0"/>
    <n v="94"/>
    <x v="5"/>
  </r>
  <r>
    <s v="639"/>
    <s v="Visita Domo de Ferro"/>
    <x v="4"/>
    <x v="3"/>
    <d v="2026-06-12T00:00:00"/>
    <s v="Aline da Silva Mesquita"/>
    <s v="Finalizada"/>
    <x v="1"/>
    <s v=""/>
    <s v=""/>
    <s v=""/>
    <x v="1"/>
    <x v="7"/>
    <x v="0"/>
    <s v="Campo Grande"/>
    <s v="Reunião realizada com o Secretário Municipal de Governo e Relações Institucionais, abordando sobre os débitos da SESAU, sobre a necessidade de alteração da LEI da COSIP para prever o Encontro de Contas, definição de ponto focal para os assuntos da secretária de educação para os pedidos de aumento de carga e a liberação/autorização para ligação do painel de LED no espaço Energia."/>
    <d v="2026-08-03T00:00:00"/>
    <s v="Informação. Reunião realizada com o Secretário Municipal de Governo e Relações Institucionais, abordando sobre os débitos da SESAU, sobre a necessidade de alteração da LEI da COSIP para prever o Encontro de Contas, definição de ponto focal para os assuntos da secretária de educação para os pedidos de aumento de carga e a liberação/autorização para ligação do painel de LED no espaço Energia."/>
    <d v="2026-08-03T00:00:00"/>
    <s v="Informação. Card já finalizado em data anterior."/>
    <m/>
    <m/>
    <d v="2026-08-03T00:00:00"/>
    <s v="Wander Idalino Machado"/>
    <s v="Wander Machado"/>
    <s v="Ulisses da Silva Rocha_x000a_Willian Maksuda_x000a_Paulo Roberto (DPRE)"/>
    <s v="Aline da Silva Mesquita"/>
    <s v=""/>
    <s v="Visita Domo de Ferro"/>
    <d v="2026-09-03T00:00:00"/>
    <s v="Moacir Costa Neto"/>
    <d v="2026-08-03T00:00:00"/>
    <s v="Wander Idalino Machado"/>
    <n v="100"/>
    <n v="100"/>
    <n v="100"/>
    <s v=""/>
    <m/>
    <s v=""/>
    <x v="5"/>
    <n v="101"/>
    <x v="0"/>
    <x v="1"/>
    <x v="0"/>
    <x v="0"/>
    <n v="0"/>
    <x v="5"/>
  </r>
  <r>
    <s v="64"/>
    <s v="Visita Domo de Ferro"/>
    <x v="1"/>
    <x v="0"/>
    <d v="2026-04-16T00:00:00"/>
    <s v="Danila Hertal Moreira Souza"/>
    <s v="Finalizada"/>
    <x v="1"/>
    <s v="Câmara Municipal de Coronel Sapucaia"/>
    <s v=""/>
    <s v=""/>
    <x v="0"/>
    <x v="0"/>
    <x v="2"/>
    <s v="Coronel Sapucaia"/>
    <s v="Na reunião foi apresentado os ofícios CM nº 5/2026, 25/2026, 26/2026, 21/2026 (protocolo 9504603188) 20/2026 (protocolo 9504605976)"/>
    <d v="2026-05-04T00:00:00"/>
    <s v="26/2026, 21/2026 (protocolo 9504603188) 20/2026 (protocolo 9504605976)"/>
    <d v="2026-06-12T00:00:00"/>
    <s v="Of 26/2026 respondido conforme CT-CGCP-PP 500/2026. Of 21/2026 atendido conforme OS 525040957 (gerado obra 0402600291, orçamento enviado ao cliente). E o OF. 20/2026 atendido conforme OS 525029584 (gerado obra 0402600290, orçamento enviado ao cliente)."/>
    <m/>
    <m/>
    <m/>
    <s v="Moacir Costa Neto"/>
    <s v="Danila Souza"/>
    <s v="Maria Eloir Flores Rodrigues_x000a_Fernando Rolon Marinho_x000a_Célia Cristina Arias Davalos"/>
    <s v="Danila Hertal Moreira Souza"/>
    <s v=""/>
    <s v="Visita Domo de Ferro"/>
    <d v="2026-09-03T00:00:00"/>
    <s v="Moacir Costa Neto"/>
    <d v="2026-06-12T00:00:00"/>
    <s v="Danila Hertal Moreira Souza"/>
    <n v="25"/>
    <n v="25"/>
    <n v="12.5"/>
    <s v=""/>
    <m/>
    <s v=""/>
    <x v="0"/>
    <n v="158"/>
    <x v="0"/>
    <x v="1"/>
    <x v="0"/>
    <x v="0"/>
    <n v="39"/>
    <x v="1"/>
  </r>
  <r>
    <s v="64"/>
    <s v="Visita Domo de Ferro"/>
    <x v="4"/>
    <x v="1"/>
    <d v="2026-04-16T00:00:00"/>
    <s v="Danila Hertal Moreira Souza"/>
    <s v="Finalizada"/>
    <x v="1"/>
    <s v=""/>
    <s v=""/>
    <s v=""/>
    <x v="0"/>
    <x v="0"/>
    <x v="2"/>
    <s v="Coronel Sapucaia"/>
    <s v="Na reunião foi apresentado os ofícios CM nº 5/2026, 25/2026, 26/2026, 21/2026 (protocolo 9504603188) 20/2026 (protocolo 9504605976)"/>
    <d v="2026-05-04T00:00:00"/>
    <s v="Na reunião foi apresentado os ofícios CM nº 5/2026, 25/2026"/>
    <d v="2026-07-02T00:00:00"/>
    <m/>
    <m/>
    <m/>
    <d v="2026-06-22T00:00:00"/>
    <s v="Jessika da Silva Arruda de Paula"/>
    <s v="Danila Souza"/>
    <s v="Maria Eloir Flores Rodrigues_x000a_Fernando Rolon Marinho_x000a_Célia Cristina Arias Davalos"/>
    <s v="Danila Hertal Moreira Souza"/>
    <s v=""/>
    <s v="Visita Domo de Ferro"/>
    <d v="2026-09-03T00:00:00"/>
    <s v="Moacir Costa Neto"/>
    <d v="2026-07-02T00:00:00"/>
    <s v="Danila Hertal Moreira Souza"/>
    <n v="25"/>
    <n v="25"/>
    <n v="25"/>
    <s v=""/>
    <m/>
    <s v=""/>
    <x v="0"/>
    <n v="158"/>
    <x v="0"/>
    <x v="1"/>
    <x v="0"/>
    <x v="0"/>
    <n v="59"/>
    <x v="8"/>
  </r>
  <r>
    <s v="642"/>
    <s v="Visita Domo de Ferro"/>
    <x v="1"/>
    <x v="5"/>
    <d v="2026-06-11T00:00:00"/>
    <s v="Aline da Silva Mesquita"/>
    <s v="Em Andamento"/>
    <x v="1"/>
    <s v=""/>
    <s v=""/>
    <s v=""/>
    <x v="2"/>
    <x v="49"/>
    <x v="2"/>
    <s v="Bela Vista"/>
    <s v="Foi realizada reunião presencial na Energisa com o Vereador Xande, com o objetivo de estreitar o relacionamento institucional e ouvir as principais demandas da população relacionadas aos serviços prestados pela concessionária._x000a__x000a_Durante o encontro, o vereador relatou reclamações referentes ao atendimento realizado por meio do Totem de Autoatendimento. Segundo informado, os clientes enfrentam desconforto durante o período de espera, uma vez que o local não dispõe de estrutura adequada para acolhimento, incluindo climatização. Também foi mencionado que o suporte presencial de um atendente ocorre apenas no período da tarde e que a incidência direta de sol no local contribui para condições inadequadas de atendimento._x000a__x000a_O vereador também destacou a situação do Assentamento Barra do Itá, localizado a aproximadamente 30 km do município, onde moradores relatam problemas relacionados à qualidade do fornecimento de energia elétrica. Foi mencionada a necessidade de avaliação das condições da rede e da execução de serviços de poda da vegetação próxima às instalações elétricas._x000a__x000a_Como encaminhamentos da reunião, foram definidas as seguintes ações:_x000a__x000a_• Solicitar inspeção técnica no Assentamento Barra do Itá para avaliação das condições da rede elétrica e identificação de eventuais necessidades de manutenção e poda;_x000a_• Solicitar esclarecimentos à área responsável pelo atendimento comercial quanto à estrutura, condições de atendimento e suporte disponibilizado no Ponto Parceiro."/>
    <d v="2026-06-19T00:00:00"/>
    <s v="Foi realizada reunião presencial na Energisa com o Vereador Xande, com o objetivo de estreitar o relacionamento institucional e ouvir as principais demandas da população relacionadas aos serviços prestados pela concessionária._x000a__x000a_Durante o encontro, o vereador relatou reclamações referentes ao atendimento realizado por meio do Totem de Autoatendimento. Segundo informado, os clientes enfrentam desconforto durante o período de espera, uma vez que o local não dispõe de estrutura adequada para acolhimento, incluindo climatização. Também foi mencionado que o suporte presencial de um atendente ocorre apenas no período da tarde e que a incidência direta de sol no local contribui para condições inadequadas de atendimento._x000a__x000a_O vereador também destacou a situação do Assentamento Barra do Itá, localizado a aproximadamente 30 km do município, onde moradores relatam problemas relacionados à qualidade do fornecimento de energia elétrica. Foi mencionada a necessidade de avaliação das condições da rede e da execução de serviços de poda da vegetação próxima às instalações elétricas._x000a__x000a_Ação Atendimento_x000a__x000a_• Solicitamos esclarecimentos à área responsável pelo atendimento comercial quanto à estrutura, condições de atendimento e suporte disponibilizado no Ponto Parceiro."/>
    <d v="2026-08-18T00:00:00"/>
    <m/>
    <m/>
    <m/>
    <d v="2026-08-18T00:00:00"/>
    <s v="Wesley Ricardo Santana Cosim"/>
    <s v="Bruna Santos"/>
    <s v="Luiz Alexandre Palmieri, conhecido como Xande_x000a_Willian Maksud_x000a_Paulo Roberto (DPRE)"/>
    <s v="Aline da Silva Mesquita"/>
    <s v=""/>
    <s v="Visita Domo de Ferro"/>
    <d v="2026-08-25T00:00:00"/>
    <s v="Moacir Costa Neto"/>
    <d v="2026-08-18T00:00:00"/>
    <s v="Bruna Fabiana Braguin dos Santos"/>
    <n v="25"/>
    <n v="25"/>
    <n v="25"/>
    <s v=""/>
    <m/>
    <s v=""/>
    <x v="12"/>
    <n v="102"/>
    <x v="0"/>
    <x v="1"/>
    <x v="0"/>
    <x v="0"/>
    <n v="60"/>
    <x v="10"/>
  </r>
  <r>
    <s v="642"/>
    <s v="Visita Domo de Ferro"/>
    <x v="5"/>
    <x v="0"/>
    <d v="2026-06-11T00:00:00"/>
    <s v="Aline da Silva Mesquita"/>
    <s v="Em Andamento"/>
    <x v="3"/>
    <s v=""/>
    <s v=""/>
    <s v=""/>
    <x v="2"/>
    <x v="49"/>
    <x v="2"/>
    <s v="Bela Vista"/>
    <s v="Foi realizada reunião presencial na Energisa com o Vereador Xande, com o objetivo de estreitar o relacionamento institucional e ouvir as principais demandas da população relacionadas aos serviços prestados pela concessionária._x000a__x000a_Durante o encontro, o vereador relatou reclamações referentes ao atendimento realizado por meio do Totem de Autoatendimento. Segundo informado, os clientes enfrentam desconforto durante o período de espera, uma vez que o local não dispõe de estrutura adequada para acolhimento, incluindo climatização. Também foi mencionado que o suporte presencial de um atendente ocorre apenas no período da tarde e que a incidência direta de sol no local contribui para condições inadequadas de atendimento._x000a__x000a_O vereador também destacou a situação do Assentamento Barra do Itá, localizado a aproximadamente 30 km do município, onde moradores relatam problemas relacionados à qualidade do fornecimento de energia elétrica. Foi mencionada a necessidade de avaliação das condições da rede e da execução de serviços de poda da vegetação próxima às instalações elétricas._x000a__x000a_Como encaminhamentos da reunião, foram definidas as seguintes ações:_x000a__x000a_• Solicitar inspeção técnica no Assentamento Barra do Itá para avaliação das condições da rede elétrica e identificação de eventuais necessidades de manutenção e poda;_x000a_• Solicitar esclarecimentos à área responsável pelo atendimento comercial quanto à estrutura, condições de atendimento e suporte disponibilizado no Ponto Parceiro."/>
    <d v="2026-06-19T00:00:00"/>
    <s v="Ação1 - • Solicitar inspeção técnica no Assentamento Barra do Itá para avaliação das condições da rede elétrica e identificação de eventuais necessidades de manutenção e poda;"/>
    <d v="2026-08-31T00:00:00"/>
    <s v="Direcionar ao time da qualidade para realização de analise dos blocos ofensores"/>
    <m/>
    <m/>
    <m/>
    <s v="Evair Rogerio da Conceicao"/>
    <s v="Evair Conceicao"/>
    <s v="Luiz Alexandre Palmieri, conhecido como Xande_x000a_Willian Maksud_x000a_Paulo Roberto (DPRE)"/>
    <s v="Aline da Silva Mesquita"/>
    <s v=""/>
    <s v="Visita Domo de Ferro"/>
    <d v="2026-08-31T00:00:00"/>
    <s v="Evair Rogerio da Conceicao"/>
    <d v="2026-08-31T00:00:00"/>
    <s v="Evair Rogerio da Conceicao"/>
    <n v="25"/>
    <n v="25"/>
    <n v="25"/>
    <s v=""/>
    <m/>
    <s v=""/>
    <x v="12"/>
    <n v="102"/>
    <x v="0"/>
    <x v="1"/>
    <x v="0"/>
    <x v="0"/>
    <n v="73"/>
    <x v="3"/>
  </r>
  <r>
    <s v="642"/>
    <s v="Visita Domo de Ferro"/>
    <x v="2"/>
    <x v="2"/>
    <d v="2026-06-11T00:00:00"/>
    <s v="Aline da Silva Mesquita"/>
    <s v="Em Andamento"/>
    <x v="2"/>
    <s v="Câmara Municpal de Bela Vista"/>
    <s v=""/>
    <s v=""/>
    <x v="2"/>
    <x v="49"/>
    <x v="2"/>
    <s v="Bela Vista"/>
    <s v="Foi realizada reunião presencial na Energisa com o Vereador Xande, com o objetivo de estreitar o relacionamento institucional e ouvir as principais demandas da população relacionadas aos serviços prestados pela concessionária._x000a__x000a_Durante o encontro, o vereador relatou reclamações referentes ao atendimento realizado por meio do Totem de Autoatendimento. Segundo informado, os clientes enfrentam desconforto durante o período de espera, uma vez que o local não dispõe de estrutura adequada para acolhimento, incluindo climatização. Também foi mencionado que o suporte presencial de um atendente ocorre apenas no período da tarde e que a incidência direta de sol no local contribui para condições inadequadas de atendimento._x000a__x000a_O vereador também destacou a situação do Assentamento Barra do Itá, localizado a aproximadamente 30 km do município, onde moradores relatam problemas relacionados à qualidade do fornecimento de energia elétrica. Foi mencionada a necessidade de avaliação das condições da rede e da execução de serviços de poda da vegetação próxima às instalações elétricas._x000a__x000a_Como encaminhamentos da reunião, foram definidas as seguintes ações:_x000a__x000a_• Solicitar inspeção técnica no Assentamento Barra do Itá para avaliação das condições da rede elétrica e identificação de eventuais necessidades de manutenção e poda;_x000a_• Solicitar esclarecimentos à área responsável pelo atendimento comercial quanto à estrutura, condições de atendimento e suporte disponibilizado no Ponto Parceiro."/>
    <d v="2026-09-01T00:00:00"/>
    <s v="Por favor realizar estudos para identificação de possíveis blocos ofensores."/>
    <m/>
    <m/>
    <m/>
    <m/>
    <m/>
    <s v="Luan Henrique Soares Diniz Afonso"/>
    <s v=""/>
    <s v="Luiz Alexandre Palmieri, conhecido como Xande_x000a_Willian Maksud_x000a_Paulo Roberto (DPRE)"/>
    <s v="Aline da Silva Mesquita"/>
    <s v=""/>
    <s v="Visita Domo de Ferro"/>
    <d v="2026-09-01T00:00:00"/>
    <s v="Wander Idalino Machado"/>
    <d v="2026-09-01T00:00:00"/>
    <s v="Wander Idalino Machado"/>
    <n v="25"/>
    <n v="25"/>
    <n v="12.5"/>
    <s v="Qualidade do produto"/>
    <m/>
    <s v="DEOP - QUALIDADE"/>
    <x v="12"/>
    <n v="102"/>
    <x v="0"/>
    <x v="1"/>
    <x v="0"/>
    <x v="0"/>
    <n v="20"/>
    <x v="2"/>
  </r>
  <r>
    <s v="675"/>
    <s v="Visita Domo de Ferro"/>
    <x v="3"/>
    <x v="0"/>
    <d v="2026-03-11T00:00:00"/>
    <s v="Danila Hertal Moreira Souza"/>
    <s v="Em Andamento"/>
    <x v="0"/>
    <s v=""/>
    <s v="158916"/>
    <s v=""/>
    <x v="0"/>
    <x v="18"/>
    <x v="1"/>
    <s v="Amambai"/>
    <s v="Solicitação feita pelo Diretor Matos - Reclamação de constante queda, acionado o time de manutenção. UC 158916 - Fazenda Arrozal (Amambai)"/>
    <d v="2026-06-18T00:00:00"/>
    <s v="Status atual: Em atuação campo (DEOP/DCMD._x000a_Solicitação feita pelo Diretor Matos - Reclamação de constante queda, acionado o time de manutenção. UC 158916 - Fazenda Arrozal (Amambai)_x000a__x000a_09/07 - Inspeção no trecho será executada até 28/08."/>
    <d v="2026-08-18T00:00:00"/>
    <m/>
    <m/>
    <d v="2026-08-28T00:00:00"/>
    <m/>
    <s v="Evair Rogerio da Conceicao"/>
    <s v="Bruna Santos"/>
    <m/>
    <s v="Danila Hertal Moreira Souza"/>
    <s v=""/>
    <s v="Visita Domo de Ferro"/>
    <d v="2026-09-03T00:00:00"/>
    <s v="Moacir Costa Neto"/>
    <d v="2026-08-18T00:00:00"/>
    <s v="Bruna Fabiana Braguin dos Santos"/>
    <n v="100"/>
    <n v="100"/>
    <n v="100"/>
    <s v=""/>
    <m/>
    <s v=""/>
    <x v="0"/>
    <n v="194"/>
    <x v="0"/>
    <x v="1"/>
    <x v="0"/>
    <x v="0"/>
    <n v="61"/>
    <x v="3"/>
  </r>
  <r>
    <s v="676"/>
    <s v="Visita Domo de Ferro"/>
    <x v="4"/>
    <x v="3"/>
    <d v="2026-06-16T00:00:00"/>
    <s v="Aline da Silva Mesquita"/>
    <s v="Finalizada"/>
    <x v="1"/>
    <s v=""/>
    <s v=""/>
    <s v=""/>
    <x v="1"/>
    <x v="7"/>
    <x v="0"/>
    <s v="Campo Grande"/>
    <s v="Reunião realizada com o Danilo referente os pagamento das faturas de energia elétrica dos meses de 04/2026 e 05/2026. Danilo, informou sobre o cenário financeiro da Secretaria e solicitou apoio com alternativas para redução de custos._x000a__x000a_Saídas:_x000a_Apresentar proposta de parcelamento_x000a_Enviar relação de unidade consumidoras com o DE/PARA das unidades e UC ANEEL_x000a_Elaborar análise de assinatura solar_x000a_Analisar as unidades atendidas em Grupo A (Ultrapassagens/Reativo)_x000a_Enviar relação de unidades para analisar a divisão das datas de vencimento (10 e 21)"/>
    <d v="2026-08-03T00:00:00"/>
    <s v="Informação."/>
    <d v="2026-08-03T00:00:00"/>
    <s v="Informação. CARD fechado sem abertura de ação."/>
    <m/>
    <m/>
    <d v="2026-08-03T00:00:00"/>
    <s v="Wander Idalino Machado"/>
    <s v="Wander Machado"/>
    <s v="Danilo de Souza Vasconcelos - Superintendência de Finanças Saúde"/>
    <s v=""/>
    <s v=""/>
    <s v="Visita Domo de Ferro"/>
    <d v="2026-09-03T00:00:00"/>
    <s v="Moacir Costa Neto"/>
    <d v="2026-08-03T00:00:00"/>
    <s v="Wander Idalino Machado"/>
    <n v="100"/>
    <n v="100"/>
    <n v="100"/>
    <s v=""/>
    <m/>
    <s v=""/>
    <x v="5"/>
    <n v="97"/>
    <x v="0"/>
    <x v="1"/>
    <x v="0"/>
    <x v="0"/>
    <n v="0"/>
    <x v="5"/>
  </r>
  <r>
    <s v="707"/>
    <s v="Visita Domo de Ferro"/>
    <x v="2"/>
    <x v="2"/>
    <d v="2026-04-13T00:00:00"/>
    <s v="Julio Cesar dos Santos Antonelo"/>
    <s v="Em Andamento"/>
    <x v="2"/>
    <s v="Itahum Export Comercio de Cereais Ltda"/>
    <s v="3456606"/>
    <s v=""/>
    <x v="0"/>
    <x v="22"/>
    <x v="1"/>
    <s v="Ponta Porã"/>
    <s v="Nome do Solicitante: Gabriel da Silva Mendonça_x000a_Cliente Miguela Luiza Rufino dos Santos Barcelos Manna publicou uma reclamação publica, reclama de constantes quedas de energia na UC 10/3456606-7 no endereço: Rua Heitor Laburu nº 200 bairro: Jardim Itatiaia região urbana. Segue anexo._x000a_Diagnóstico Qualidade."/>
    <d v="2026-08-18T00:00:00"/>
    <s v="AVALIAR AÇÕES DE CORREÇÃO"/>
    <m/>
    <m/>
    <m/>
    <m/>
    <m/>
    <s v="Luan Henrique Soares Diniz Afonso"/>
    <s v=""/>
    <m/>
    <s v="Julio Cesar dos Santos Antonelo"/>
    <s v=""/>
    <s v="Visita Domo de Ferro"/>
    <d v="2026-08-25T00:00:00"/>
    <s v="Moacir Costa Neto"/>
    <d v="2026-08-18T00:00:00"/>
    <s v="Bruna Fabiana Braguin dos Santos"/>
    <n v="100"/>
    <n v="100"/>
    <n v="50"/>
    <s v="Qualidade do produto"/>
    <m/>
    <s v="DEOP - QUALIDADE"/>
    <x v="0"/>
    <n v="161"/>
    <x v="0"/>
    <x v="1"/>
    <x v="0"/>
    <x v="0"/>
    <n v="34"/>
    <x v="2"/>
  </r>
  <r>
    <s v="708"/>
    <s v="Visita Domo de Ferro"/>
    <x v="5"/>
    <x v="0"/>
    <d v="2026-03-04T00:00:00"/>
    <s v="Danila Hertal Moreira Souza"/>
    <s v="Em Andamento"/>
    <x v="0"/>
    <s v=""/>
    <s v=""/>
    <s v=""/>
    <x v="1"/>
    <x v="37"/>
    <x v="3"/>
    <s v="Jaraguari"/>
    <s v="Audiência Pública - Zeca do PT (Jaraguari e Sonora). Reclamação de qualidade de fornecimento sobre frequência de falta de energia._x000a_Origem: Audiência Pública_x000a_Dep. Estadual Zeca do PT_x000a__x000a_3701152 -Jaraguari_x000a_917743 - Sonora"/>
    <d v="2026-06-19T00:00:00"/>
    <s v="Status atual: Em atuação campo (DEOP/DCMD)_x000a_Audiência Pública - Zeca do PT (Jaraguari e Sonora). Reclamação de qualidade de fornecimento sobre frequência de falta de energia._x000a_3701152 -Jaraguari_x000a_917743 - Sonora_x000a_QUAL STATUS DAS AÇÕES?"/>
    <d v="2026-08-18T00:00:00"/>
    <m/>
    <m/>
    <m/>
    <m/>
    <s v="Evair Rogerio da Conceicao"/>
    <s v="Bruna Santos"/>
    <s v="Audiência Pública - Zeca do PT (Jaraguari e Sonora)"/>
    <s v="Danila Hertal Moreira Souza"/>
    <s v=""/>
    <s v="Visita Domo de Ferro"/>
    <d v="2026-08-25T00:00:00"/>
    <s v="Moacir Costa Neto"/>
    <d v="2026-08-18T00:00:00"/>
    <s v="Bruna Fabiana Braguin dos Santos"/>
    <n v="100"/>
    <n v="100"/>
    <n v="100"/>
    <s v=""/>
    <m/>
    <s v=""/>
    <x v="8"/>
    <n v="201"/>
    <x v="0"/>
    <x v="1"/>
    <x v="0"/>
    <x v="0"/>
    <n v="60"/>
    <x v="3"/>
  </r>
  <r>
    <s v="718"/>
    <s v="Visita Domo de Ferro"/>
    <x v="4"/>
    <x v="3"/>
    <d v="2026-06-19T00:00:00"/>
    <s v="Aline da Silva Mesquita"/>
    <s v="Finalizada"/>
    <x v="1"/>
    <s v=""/>
    <s v=""/>
    <s v=""/>
    <x v="1"/>
    <x v="7"/>
    <x v="0"/>
    <s v="Campo Grande"/>
    <s v="Reunião institucional realizada para alinhamento dos canais de comunicação entre as partes._x000a__x000a_Também foram tratados os pedidos de aumento de carga, questões relacionadas à qualidade da energia e o compartilhamento de dados das unidades do UP (gerador)."/>
    <d v="2026-08-03T00:00:00"/>
    <s v="Informação."/>
    <d v="2026-08-03T00:00:00"/>
    <s v="Informação. Card já encerrado sem abertura de ação."/>
    <m/>
    <m/>
    <d v="2026-08-03T00:00:00"/>
    <s v="Wander Idalino Machado"/>
    <s v="Wander Machado"/>
    <s v="Marcelo Luiz Brandão Vilela - Secretário_x000a_Marcos Chaves - Superintendente de Apoio Operacional_x000a_Lucimara Martins Superintendente da Atenção Primária_x000a__x000a_Flávio - Gabinete_x000a_William Maksoud"/>
    <s v="Aline da Silva Mesquita"/>
    <s v=""/>
    <s v="Visita Domo de Ferro"/>
    <d v="2026-09-03T00:00:00"/>
    <s v="Moacir Costa Neto"/>
    <d v="2026-08-03T00:00:00"/>
    <s v="Wander Idalino Machado"/>
    <n v="100"/>
    <n v="100"/>
    <n v="100"/>
    <s v=""/>
    <m/>
    <s v=""/>
    <x v="5"/>
    <n v="94"/>
    <x v="0"/>
    <x v="1"/>
    <x v="0"/>
    <x v="0"/>
    <n v="0"/>
    <x v="5"/>
  </r>
  <r>
    <s v="723"/>
    <s v="Visita Domo de Ferro"/>
    <x v="3"/>
    <x v="0"/>
    <d v="2026-05-04T00:00:00"/>
    <s v="Danila Hertal Moreira Souza"/>
    <s v="Em Andamento"/>
    <x v="0"/>
    <s v=""/>
    <s v="1937031"/>
    <s v=""/>
    <x v="0"/>
    <x v="1"/>
    <x v="2"/>
    <s v="Maracaju"/>
    <s v="Queda frequente de energia -  rede desta unidade é de Itahum do outro lado do rio, o que foi cogitado nas reuniões foi futuramente uma rede nova que seja do sentido Maracaju aonde fic localizada a propriedade - ASSUNTO SERÁ PROSSEGUIDO COM DIAN DEVIDO JÁ TER CONHECIMENTO DO ASSUNTO."/>
    <d v="2026-06-19T00:00:00"/>
    <s v="Queda frequente de energia -  rede desta unidade é de Itahum do outro lado do rio, o que foi cogitado nas reuniões foi futuramente uma rede nova que seja do sentido Maracaju aonde fic localizada a propriedade - ASSUNTO SERÁ PROSSEGUIDO COM DIAN DEVIDO JÁ TER CONHECIMENTO DO ASSUNTO. _x000a_ENERGISA_x000a_DIRETOR: fazer um multirão para realizar poda de árvore. Entraremos com o Diesel e execução das podas debaixo da rede. Alinhar com o time e informar o Vereador Catito pelo menos 3 dias antes para organizar time e maquinários. TD 749518. _x000a_Ações em andamento 04/05: será contratado da empresa maquinários para realização da limpeza de faixa, previsto para 25/05. Levantamento dos pontos entre 05/05 a 08/05"/>
    <d v="2026-08-28T00:00:00"/>
    <m/>
    <m/>
    <m/>
    <m/>
    <s v="Evair Rogerio da Conceição"/>
    <s v="Wander Machado"/>
    <m/>
    <s v="Danila Hertal Moreira Souza"/>
    <s v=""/>
    <s v="Visita Domo de Ferro"/>
    <d v="2026-09-03T00:00:00"/>
    <s v="Moacir Costa Neto"/>
    <d v="2026-08-28T00:00:00"/>
    <s v="Wander Idalino Machado"/>
    <n v="25"/>
    <n v="25"/>
    <n v="25"/>
    <s v=""/>
    <m/>
    <s v=""/>
    <x v="1"/>
    <n v="140"/>
    <x v="0"/>
    <x v="1"/>
    <x v="0"/>
    <x v="0"/>
    <n v="70"/>
    <x v="3"/>
  </r>
  <r>
    <s v="729"/>
    <s v="Visita Domo de Ferro"/>
    <x v="1"/>
    <x v="1"/>
    <d v="2026-05-14T00:00:00"/>
    <s v="Monike Chaves"/>
    <s v="Em Andamento"/>
    <x v="1"/>
    <s v=""/>
    <s v=""/>
    <s v=""/>
    <x v="0"/>
    <x v="40"/>
    <x v="0"/>
    <s v="Iguatemi"/>
    <s v="Relocação de posta Obra (9502764950) de 09/04, com a informação que não havia respondido (depois informado que a prefeitura estava sem acesso aos e-mail)_x000a_Secretário de Obras reclamou que necessitou de desligamento para atender a obra uma demanda da prefeitura e que não foi atendido. Importante entender detalhadamente o que aconteceu e voltar com o Prefeito para mudar a percepção_x000a_Reclamação de poda porém se recolha de galhos por parte da energisa, reclamou da poda radical, que precisamos checar. O Secretário de Obras foi muito resistente, porém o Secretário de Administração se mostrou bem flexível, importante tentar costurar o convênio de podas com esse secretário_x000a_Prefeito falou sobre duas árvores de grande porte, frente ao Banco Bradesco que oferece risco a nossa rede. Ficamos de verificar o que pode ser feito da nossa parte e dar retorno_x000a_Reclamação de falta de energia no Assentamento Auxiliadora e Rancho Loma"/>
    <d v="2026-06-22T00:00:00"/>
    <s v="DESC - Verificar se cliente entrou com nova solicitação._x000a_Relocação de posta Obra (9502764950) de 09/04, com a informação que não havia respondido (depois informado que a prefeitura estava sem acesso aos e-mail;(Solicitação com pendência e respondida por e-mail: Formalizar solicitação via oficio e preencher integralmente o formulário em anexo)_x000a__x000a_DESC - Foi verificado a jornada desse cliente? _x000a_Secretário de Obras reclamou que necessitou de desligamento para atender a obra uma demanda da prefeitura e que não foi atendido. Importante entender detalhadamente o que aconteceu e voltar com o Prefeito para mudar a percepção;_x000a__x000a_DESC - Quais os pontos da poda radical? Precisamos de referência para que a área verifique._x000a_Reclamação de poda porém se recolha de galhos por parte da energisa, reclamou da poda radical, que precisamos checar. O Secretário de Obras foi muito resistente, porém o Secretário de Administração se mostrou bem flexível, importante tentar costurar o convênio de podas com esse secretário_x000a__x000a_DESC - quais as unidades ou protocolos? Precisamos de referência para que a área verifique._x000a_Reclamação de falta de energia no Assentamento Auxiliadora e Rancho Loma"/>
    <d v="2026-08-18T00:00:00"/>
    <m/>
    <m/>
    <m/>
    <d v="2026-08-18T00:00:00"/>
    <s v="Monike Chaves"/>
    <s v="Bruna Santos"/>
    <s v="Prefeito Lidio_x000a_Jonas_x000a_Andre_x000a_Paulo_x000a_Juliano"/>
    <s v=""/>
    <s v=""/>
    <s v="Visita Institucional"/>
    <d v="2026-08-25T00:00:00"/>
    <s v="Moacir Costa Neto"/>
    <d v="2026-08-18T00:00:00"/>
    <s v="Bruna Fabiana Braguin dos Santos"/>
    <n v="100"/>
    <n v="100"/>
    <n v="100"/>
    <s v=""/>
    <m/>
    <s v=""/>
    <x v="4"/>
    <n v="130"/>
    <x v="0"/>
    <x v="1"/>
    <x v="0"/>
    <x v="0"/>
    <n v="57"/>
    <x v="1"/>
  </r>
  <r>
    <s v="729"/>
    <s v="Visita Domo de Ferro"/>
    <x v="5"/>
    <x v="0"/>
    <d v="2026-05-14T00:00:00"/>
    <s v="Monike Chaves"/>
    <s v="Em Andamento"/>
    <x v="1"/>
    <s v=""/>
    <s v=""/>
    <s v=""/>
    <x v="0"/>
    <x v="40"/>
    <x v="0"/>
    <s v="Iguatemi"/>
    <s v="Relocação de posta Obra (9502764950) de 09/04, com a informação que não havia respondido (depois informado que a prefeitura estava sem acesso aos e-mail)_x000a_Secretário de Obras reclamou que necessitou de desligamento para atender a obra uma demanda da prefeitura e que não foi atendido. Importante entender detalhadamente o que aconteceu e voltar com o Prefeito para mudar a percepção_x000a_Reclamação de poda porém se recolha de galhos por parte da energisa, reclamou da poda radical, que precisamos checar. O Secretário de Obras foi muito resistente, porém o Secretário de Administração se mostrou bem flexível, importante tentar costurar o convênio de podas com esse secretário_x000a_Prefeito falou sobre duas árvores de grande porte, frente ao Banco Bradesco que oferece risco a nossa rede. Ficamos de verificar o que pode ser feito da nossa parte e dar retorno_x000a_Reclamação de falta de energia no Assentamento Auxiliadora e Rancho Loma"/>
    <d v="2026-06-22T00:00:00"/>
    <s v="DCMD_x000a_Prefeito de Iguatemi na reunião falou sobre duas árvores de grande porte, frente ao Banco Bradesco que oferece risco a nossa rede. Ficamos de verificar o que pode ser feito da nossa parte e dar retorno. Foi verificado? Se sim, qual nosso plano de ação?"/>
    <d v="2026-08-19T00:00:00"/>
    <s v="PREFEITO NÃO AUTORIZA PODAR A ARVORE"/>
    <m/>
    <d v="2026-08-14T00:00:00"/>
    <d v="2026-08-19T00:00:00"/>
    <s v="Evair Rogerio da Conceicao"/>
    <s v="Bruna Santos"/>
    <s v="Prefeito Lidio_x000a_Jonas_x000a_Andre_x000a_Paulo_x000a_Juliano"/>
    <s v=""/>
    <s v=""/>
    <s v="Visita Institucional"/>
    <d v="2026-08-25T00:00:00"/>
    <s v="Moacir Costa Neto"/>
    <d v="2026-08-19T00:00:00"/>
    <s v="Bruna Fabiana Braguin dos Santos"/>
    <n v="100"/>
    <n v="100"/>
    <n v="100"/>
    <s v=""/>
    <m/>
    <s v=""/>
    <x v="4"/>
    <n v="130"/>
    <x v="0"/>
    <x v="1"/>
    <x v="0"/>
    <x v="0"/>
    <n v="58"/>
    <x v="3"/>
  </r>
  <r>
    <s v="729"/>
    <s v="Visita Domo de Ferro"/>
    <x v="2"/>
    <x v="2"/>
    <d v="2026-05-14T00:00:00"/>
    <s v="Monike Chaves"/>
    <s v="Em Andamento"/>
    <x v="2"/>
    <s v="Prefeitura de Iguatemi"/>
    <s v=""/>
    <s v=""/>
    <x v="0"/>
    <x v="40"/>
    <x v="0"/>
    <s v="Iguatemi"/>
    <s v="Relocação de posta Obra (9502764950) de 09/04, com a informação que não havia respondido (depois informado que a prefeitura estava sem acesso aos e-mail)_x000a_Secretário de Obras reclamou que necessitou de desligamento para atender a obra uma demanda da prefeitura e que não foi atendido. Importante entender detalhadamente o que aconteceu e voltar com o Prefeito para mudar a percepção_x000a_Reclamação de poda porém se recolha de galhos por parte da energisa, reclamou da poda radical, que precisamos checar. O Secretário de Obras foi muito resistente, porém o Secretário de Administração se mostrou bem flexível, importante tentar costurar o convênio de podas com esse secretário_x000a_Prefeito falou sobre duas árvores de grande porte, frente ao Banco Bradesco que oferece risco a nossa rede. Ficamos de verificar o que pode ser feito da nossa parte e dar retorno_x000a_Reclamação de falta de energia no Assentamento Auxiliadora e Rancho Loma"/>
    <d v="2026-08-19T00:00:00"/>
    <s v="Gentileza realizar analise no Assentamento Auxiliadora e Rancho Loma."/>
    <m/>
    <m/>
    <m/>
    <m/>
    <m/>
    <s v="Luan Henrique Soares Diniz Afonso"/>
    <s v=""/>
    <s v="Prefeito Lidio_x000a_Jonas_x000a_Andre_x000a_Paulo_x000a_Juliano"/>
    <s v=""/>
    <s v=""/>
    <s v="Visita Institucional"/>
    <d v="2026-08-25T00:00:00"/>
    <s v="Moacir Costa Neto"/>
    <d v="2026-08-19T00:00:00"/>
    <s v="Bruna Fabiana Braguin dos Santos"/>
    <n v="100"/>
    <n v="100"/>
    <n v="50"/>
    <s v="Qualidade do produto"/>
    <m/>
    <s v="DEOP - QUALIDADE"/>
    <x v="4"/>
    <n v="130"/>
    <x v="0"/>
    <x v="1"/>
    <x v="0"/>
    <x v="0"/>
    <n v="33"/>
    <x v="2"/>
  </r>
  <r>
    <s v="74"/>
    <s v="Visita Domo de Ferro"/>
    <x v="1"/>
    <x v="3"/>
    <d v="2026-04-16T00:00:00"/>
    <s v="Danila Hertal Moreira Souza"/>
    <s v="Finalizada"/>
    <x v="1"/>
    <s v="Prefeitura Municipal de Amambai"/>
    <s v=""/>
    <s v=""/>
    <x v="0"/>
    <x v="18"/>
    <x v="0"/>
    <s v="Amambai"/>
    <s v="Na reunião foi solicitado para verificar status das OS's 404334032/479029052/476193533/481969537 e informação sobre o programa eficiência energética._x000a_Retorno ao cliente: informado os status das OS's para o Sr. Valter no Whats e também sobre o programa eficiência energética, pois no momento não possui processo de Chamada Pública em aberto. A próxima chamada pública está prevista para o final desse ano."/>
    <d v="2026-05-05T00:00:00"/>
    <s v="Tratado pela central do cliente"/>
    <d v="2026-05-06T00:00:00"/>
    <m/>
    <m/>
    <m/>
    <m/>
    <s v="Vazio"/>
    <s v="Moacir Costa"/>
    <s v="Walter Ottano"/>
    <s v="Danila Hertal Moreira Souza, Giovani Moura da Costa"/>
    <s v=""/>
    <s v="Visita Domo de Ferro"/>
    <d v="2026-09-03T00:00:00"/>
    <s v="Moacir Costa Neto"/>
    <d v="2026-05-06T00:00:00"/>
    <s v="Moacir Costa Neto"/>
    <n v="100"/>
    <n v="100"/>
    <n v="50"/>
    <s v=""/>
    <m/>
    <s v=""/>
    <x v="0"/>
    <n v="158"/>
    <x v="0"/>
    <x v="1"/>
    <x v="0"/>
    <x v="0"/>
    <n v="1"/>
    <x v="5"/>
  </r>
  <r>
    <s v="75"/>
    <s v="Visita Domo de Ferro"/>
    <x v="1"/>
    <x v="3"/>
    <d v="2026-04-14T00:00:00"/>
    <s v="Availdo Taveira de Oliveira"/>
    <s v="Finalizada"/>
    <x v="1"/>
    <s v="Prefeitura de Anastacio"/>
    <s v=""/>
    <s v=""/>
    <x v="2"/>
    <x v="42"/>
    <x v="0"/>
    <s v="Anastácio"/>
    <s v="Na reunião prefeitura foi orientada quanto a necessidade de antecipar seus pedido de ligação e obras, tendo em vista os prazos regulatoria para as execuções"/>
    <d v="2026-05-05T00:00:00"/>
    <s v="Sem ação. Reunião orientação."/>
    <m/>
    <m/>
    <m/>
    <m/>
    <m/>
    <s v="Danila Hertal Moreira Souza"/>
    <s v=""/>
    <s v="Secretaria de Planejamento  - Adriana e Secretário de finanças Ademir"/>
    <s v="Sandro Adalberto Bagui, Anderson Brum Smaniotto"/>
    <s v=""/>
    <s v="Visita Domo de Ferro"/>
    <d v="2026-08-15T00:00:00"/>
    <s v="Moacir Costa Neto"/>
    <d v="2026-05-05T00:00:00"/>
    <s v="Danila Hertal Moreira Souza"/>
    <n v="100"/>
    <n v="100"/>
    <n v="50"/>
    <s v=""/>
    <m/>
    <s v=""/>
    <x v="7"/>
    <n v="160"/>
    <x v="0"/>
    <x v="1"/>
    <x v="0"/>
    <x v="0"/>
    <n v="139"/>
    <x v="5"/>
  </r>
  <r>
    <s v="76"/>
    <s v="Visita Domo de Ferro"/>
    <x v="1"/>
    <x v="3"/>
    <d v="2026-04-14T00:00:00"/>
    <s v="Availdo Taveira de Oliveira"/>
    <s v="Finalizada"/>
    <x v="1"/>
    <s v="Prefeitura de Aquidauana"/>
    <s v=""/>
    <s v=""/>
    <x v="2"/>
    <x v="50"/>
    <x v="0"/>
    <s v="Aquidauana"/>
    <s v="Vice prefeito Murilo focou muito na questão de expansão da iluminação pública e nos prazos de obras novas._x000a_Foi devidamente orientado quanto aos prazos regulatorios, bem como da ecessidade de se antecipar as solicitaçoes."/>
    <d v="2026-05-05T00:00:00"/>
    <s v="Sem ação. Reunião orientativa."/>
    <m/>
    <m/>
    <m/>
    <m/>
    <m/>
    <s v="Availdo Taveira de Oliveira"/>
    <s v=""/>
    <s v="Vice prefeito Murilo"/>
    <s v="Sandro Adalberto Bagui, Anderson Brum Smaniotto"/>
    <s v=""/>
    <s v="Visita Domo de Ferro"/>
    <d v="2026-08-15T00:00:00"/>
    <s v="Moacir Costa Neto"/>
    <d v="2026-05-05T00:00:00"/>
    <s v="Danila Hertal Moreira Souza"/>
    <n v="100"/>
    <n v="100"/>
    <n v="50"/>
    <s v=""/>
    <m/>
    <s v=""/>
    <x v="7"/>
    <n v="160"/>
    <x v="0"/>
    <x v="1"/>
    <x v="0"/>
    <x v="0"/>
    <n v="139"/>
    <x v="1"/>
  </r>
  <r>
    <s v="773"/>
    <s v="Visita Domo de Ferro"/>
    <x v="1"/>
    <x v="3"/>
    <d v="2026-06-25T00:00:00"/>
    <s v="Danila Hertal Moreira Souza"/>
    <s v="Finalizada"/>
    <x v="1"/>
    <s v="Prefeitura Municipal de Jaraguari"/>
    <s v=""/>
    <s v=""/>
    <x v="1"/>
    <x v="37"/>
    <x v="0"/>
    <s v="Jaraguari"/>
    <s v="Reunião realizada no bloco 1 sobre a solicitação de revisão e ampliação da capacidade de carga e estabilização da rede elétrica no município de Jaraguari."/>
    <d v="2026-06-25T00:00:00"/>
    <s v="Reunião realizada no bloco 1 sobre a solicitação de revisão e ampliação da capacidade de carga e estabilização da rede elétrica no município de Jaraguari. Ofício entregue em mãos a coord. Aline Mesquita."/>
    <m/>
    <m/>
    <m/>
    <m/>
    <m/>
    <s v="Danila Hertal Moreira Souza"/>
    <s v=""/>
    <s v="Lucas Tonet_x000a_Jean Phierre Vargas"/>
    <s v="Danila Hertal Moreira Souza"/>
    <s v=""/>
    <s v="Visita Domo de Ferro"/>
    <d v="2026-08-25T00:00:00"/>
    <s v="Moacir Costa Neto"/>
    <d v="2026-06-25T00:00:00"/>
    <s v="Danila Hertal Moreira Souza"/>
    <n v="100"/>
    <n v="100"/>
    <n v="50"/>
    <s v=""/>
    <m/>
    <s v=""/>
    <x v="8"/>
    <n v="88"/>
    <x v="0"/>
    <x v="1"/>
    <x v="0"/>
    <x v="0"/>
    <n v="88"/>
    <x v="5"/>
  </r>
  <r>
    <m/>
    <m/>
    <x v="9"/>
    <x v="8"/>
    <m/>
    <m/>
    <m/>
    <x v="4"/>
    <m/>
    <m/>
    <m/>
    <x v="4"/>
    <x v="51"/>
    <x v="6"/>
    <m/>
    <m/>
    <m/>
    <m/>
    <m/>
    <m/>
    <m/>
    <m/>
    <m/>
    <m/>
    <m/>
    <m/>
    <m/>
    <m/>
    <m/>
    <m/>
    <m/>
    <m/>
    <m/>
    <m/>
    <m/>
    <m/>
    <m/>
    <m/>
    <m/>
    <x v="14"/>
    <m/>
    <x v="4"/>
    <x v="2"/>
    <x v="2"/>
    <x v="2"/>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C5A253-6096-407F-9F1C-5AEBE3F9F96B}" name="Tabela dinâmica19"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Área">
  <location ref="A109:B114" firstHeaderRow="1" firstDataRow="1" firstDataCol="1" rowPageCount="2" colPageCount="1"/>
  <pivotFields count="47">
    <pivotField showAll="0"/>
    <pivotField showAll="0"/>
    <pivotField showAll="0"/>
    <pivotField dataField="1"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axis="axisPage" showAll="0">
      <items count="4">
        <item x="1"/>
        <item x="0"/>
        <item x="2"/>
        <item t="default"/>
      </items>
    </pivotField>
    <pivotField multipleItemSelectionAllowed="1" showAll="0"/>
    <pivotField showAll="0"/>
    <pivotField showAll="0"/>
    <pivotField axis="axisRow" showAll="0">
      <items count="15">
        <item x="10"/>
        <item x="5"/>
        <item x="3"/>
        <item x="4"/>
        <item x="0"/>
        <item x="2"/>
        <item x="1"/>
        <item x="8"/>
        <item x="7"/>
        <item x="12"/>
        <item x="11"/>
        <item x="9"/>
        <item m="1" x="13"/>
        <item x="6"/>
        <item t="default"/>
      </items>
    </pivotField>
  </pivotFields>
  <rowFields count="1">
    <field x="46"/>
  </rowFields>
  <rowItems count="5">
    <i>
      <x v="2"/>
    </i>
    <i>
      <x v="4"/>
    </i>
    <i>
      <x v="6"/>
    </i>
    <i>
      <x v="13"/>
    </i>
    <i t="grand">
      <x/>
    </i>
  </rowItems>
  <colItems count="1">
    <i/>
  </colItems>
  <pageFields count="2">
    <pageField fld="42" item="1" hier="-1"/>
    <pageField fld="7" hier="-1"/>
  </pageFields>
  <dataFields count="1">
    <dataField name="Qtd" fld="3" subtotal="count" baseField="0" baseItem="0"/>
  </dataFields>
  <formats count="4">
    <format dxfId="125">
      <pivotArea collapsedLevelsAreSubtotals="1" fieldPosition="0">
        <references count="1">
          <reference field="46" count="4">
            <x v="2"/>
            <x v="3"/>
            <x v="4"/>
            <x v="5"/>
          </reference>
        </references>
      </pivotArea>
    </format>
    <format dxfId="124">
      <pivotArea grandRow="1" outline="0" collapsedLevelsAreSubtotals="1" fieldPosition="0"/>
    </format>
    <format dxfId="123">
      <pivotArea field="46" type="button" dataOnly="0" labelOnly="1" outline="0" axis="axisRow" fieldPosition="0"/>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351D69-9CE0-4535-9119-BD8436D53A8F}" name="Tabela dinâmica25"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15:I29" firstHeaderRow="1" firstDataRow="1" firstDataCol="1" rowPageCount="1" colPageCount="1"/>
  <pivotFields count="47">
    <pivotField showAll="0"/>
    <pivotField showAll="0"/>
    <pivotField showAll="0"/>
    <pivotField showAll="0"/>
    <pivotField numFmtId="14" showAll="0"/>
    <pivotField showAll="0"/>
    <pivotField showAll="0"/>
    <pivotField axis="axisPage" dataField="1" multipleItemSelectionAllowed="1" showAll="0">
      <items count="6">
        <item h="1" x="3"/>
        <item x="0"/>
        <item h="1"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axis="axisRow" showAll="0" sortType="ascending">
      <items count="16">
        <item x="7"/>
        <item x="5"/>
        <item x="8"/>
        <item x="3"/>
        <item x="2"/>
        <item x="9"/>
        <item x="10"/>
        <item x="12"/>
        <item x="4"/>
        <item x="6"/>
        <item x="11"/>
        <item x="0"/>
        <item x="1"/>
        <item h="1" x="14"/>
        <item h="1" x="13"/>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s>
  <rowFields count="1">
    <field x="39"/>
  </rowFields>
  <rowItems count="14">
    <i>
      <x/>
    </i>
    <i>
      <x v="4"/>
    </i>
    <i>
      <x v="5"/>
    </i>
    <i>
      <x v="3"/>
    </i>
    <i>
      <x v="8"/>
    </i>
    <i>
      <x v="1"/>
    </i>
    <i>
      <x v="7"/>
    </i>
    <i>
      <x v="12"/>
    </i>
    <i>
      <x v="9"/>
    </i>
    <i>
      <x v="6"/>
    </i>
    <i>
      <x v="10"/>
    </i>
    <i>
      <x v="11"/>
    </i>
    <i>
      <x v="2"/>
    </i>
    <i t="grand">
      <x/>
    </i>
  </rowItems>
  <colItems count="1">
    <i/>
  </colItems>
  <pageFields count="1">
    <pageField fld="7" hier="-1"/>
  </pageFields>
  <dataFields count="1">
    <dataField name="Contagem de Status_Aca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35B9D-81AB-4C7A-8DFB-0DFFAAC1EFCB}" name="Tabela dinâmica27" cacheId="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Área">
  <location ref="A120:B124" firstHeaderRow="1" firstDataRow="1" firstDataCol="1" rowPageCount="1" colPageCount="1"/>
  <pivotFields count="47">
    <pivotField showAll="0"/>
    <pivotField showAll="0"/>
    <pivotField showAll="0"/>
    <pivotField dataField="1"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axis="axisRow"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showAll="0"/>
    <pivotField multipleItemSelectionAllowed="1" showAll="0"/>
    <pivotField showAll="0"/>
    <pivotField showAll="0"/>
    <pivotField showAll="0">
      <items count="15">
        <item x="10"/>
        <item x="5"/>
        <item x="3"/>
        <item x="4"/>
        <item x="0"/>
        <item x="2"/>
        <item x="1"/>
        <item x="8"/>
        <item x="7"/>
        <item x="12"/>
        <item x="11"/>
        <item x="9"/>
        <item m="1" x="13"/>
        <item x="6"/>
        <item t="default"/>
      </items>
    </pivotField>
  </pivotFields>
  <rowFields count="1">
    <field x="11"/>
  </rowFields>
  <rowItems count="4">
    <i>
      <x v="1"/>
    </i>
    <i>
      <x v="2"/>
    </i>
    <i>
      <x v="3"/>
    </i>
    <i t="grand">
      <x/>
    </i>
  </rowItems>
  <colItems count="1">
    <i/>
  </colItems>
  <pageFields count="1">
    <pageField fld="7" hier="-1"/>
  </pageFields>
  <dataFields count="1">
    <dataField name="Qtd" fld="3" subtotal="count" baseField="0" baseItem="0"/>
  </dataFields>
  <formats count="4">
    <format dxfId="129">
      <pivotArea grandRow="1" outline="0" collapsedLevelsAreSubtotals="1" fieldPosition="0"/>
    </format>
    <format dxfId="128">
      <pivotArea field="46" type="button" dataOnly="0" labelOnly="1" outline="0"/>
    </format>
    <format dxfId="127">
      <pivotArea dataOnly="0" labelOnly="1" outline="0" axis="axisValues" fieldPosition="0"/>
    </format>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27AD8C-4898-461B-A513-E6579693D760}" name="Tabela dinâmica21" cacheId="9"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4">
  <location ref="D80:E90" firstHeaderRow="1" firstDataRow="1" firstDataCol="1" rowPageCount="2" colPageCount="1"/>
  <pivotFields count="47">
    <pivotField showAll="0"/>
    <pivotField showAll="0"/>
    <pivotField axis="axisRow" showAll="0" sortType="ascending">
      <items count="11">
        <item x="1"/>
        <item x="4"/>
        <item x="3"/>
        <item x="0"/>
        <item x="5"/>
        <item x="2"/>
        <item x="7"/>
        <item x="6"/>
        <item x="8"/>
        <item x="9"/>
        <item t="default"/>
      </items>
      <autoSortScope>
        <pivotArea dataOnly="0" outline="0" fieldPosition="0">
          <references count="1">
            <reference field="4294967294" count="1" selected="0">
              <x v="0"/>
            </reference>
          </references>
        </pivotArea>
      </autoSortScope>
    </pivotField>
    <pivotField dataField="1" showAll="0"/>
    <pivotField numFmtId="14" showAll="0"/>
    <pivotField showAll="0"/>
    <pivotField showAll="0"/>
    <pivotField axis="axisPage" multipleItemSelectionAllowed="1" showAll="0">
      <items count="6">
        <item h="1" x="3"/>
        <item x="0"/>
        <item x="1"/>
        <item x="2"/>
        <item h="1" x="4"/>
        <item t="default"/>
      </items>
    </pivotField>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axis="axisPage" multipleItemSelectionAllowed="1" showAll="0">
      <items count="4">
        <item x="1"/>
        <item x="0"/>
        <item x="2"/>
        <item t="default"/>
      </items>
    </pivotField>
    <pivotField multipleItemSelectionAllowed="1" showAll="0"/>
    <pivotField showAll="0"/>
    <pivotField showAll="0"/>
    <pivotField showAll="0"/>
  </pivotFields>
  <rowFields count="1">
    <field x="2"/>
  </rowFields>
  <rowItems count="10">
    <i>
      <x v="8"/>
    </i>
    <i>
      <x v="6"/>
    </i>
    <i>
      <x v="7"/>
    </i>
    <i>
      <x v="4"/>
    </i>
    <i>
      <x v="2"/>
    </i>
    <i>
      <x v="5"/>
    </i>
    <i>
      <x v="1"/>
    </i>
    <i>
      <x/>
    </i>
    <i>
      <x v="3"/>
    </i>
    <i t="grand">
      <x/>
    </i>
  </rowItems>
  <colItems count="1">
    <i/>
  </colItems>
  <pageFields count="2">
    <pageField fld="42" hier="-1"/>
    <pageField fld="7" hier="-1"/>
  </pageFields>
  <dataFields count="1">
    <dataField name="Contagem de Area" fld="3"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3CDCB0-8D4A-4EE1-B178-A7D1AF4E4BD8}" name="Tabela dinâmica17"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63:I68" firstHeaderRow="1" firstDataRow="1" firstDataCol="1" rowPageCount="1" colPageCount="1"/>
  <pivotFields count="47">
    <pivotField showAll="0"/>
    <pivotField showAll="0"/>
    <pivotField showAll="0"/>
    <pivotField dataField="1"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axis="axisRow" showAll="0">
      <items count="6">
        <item x="2"/>
        <item x="0"/>
        <item x="1"/>
        <item x="3"/>
        <item x="4"/>
        <item t="default"/>
      </items>
    </pivotField>
    <pivotField showAll="0"/>
    <pivotField showAll="0"/>
    <pivotField showAll="0"/>
    <pivotField showAll="0"/>
    <pivotField showAll="0"/>
  </pivotFields>
  <rowFields count="1">
    <field x="41"/>
  </rowFields>
  <rowItems count="5">
    <i>
      <x/>
    </i>
    <i>
      <x v="1"/>
    </i>
    <i>
      <x v="2"/>
    </i>
    <i>
      <x v="3"/>
    </i>
    <i t="grand">
      <x/>
    </i>
  </rowItems>
  <colItems count="1">
    <i/>
  </colItems>
  <pageFields count="1">
    <pageField fld="7" hier="-1"/>
  </pageFields>
  <dataFields count="1">
    <dataField name="Contagem de Area" fld="3" subtotal="count" showDataAs="percentOfTotal" baseField="0" baseItem="0" numFmtId="9"/>
  </dataFields>
  <formats count="1">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178C19-9E61-41F8-8927-F901AFEA22C5}" name="Tabela dinâmica14"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95:B102" firstHeaderRow="1" firstDataRow="1" firstDataCol="1" rowPageCount="2" colPageCount="1"/>
  <pivotFields count="47">
    <pivotField showAll="0"/>
    <pivotField showAll="0"/>
    <pivotField axis="axisRow" showAll="0">
      <items count="11">
        <item x="1"/>
        <item x="4"/>
        <item x="3"/>
        <item x="0"/>
        <item x="5"/>
        <item x="2"/>
        <item x="7"/>
        <item x="6"/>
        <item x="8"/>
        <item x="9"/>
        <item t="default"/>
      </items>
    </pivotField>
    <pivotField dataField="1" showAll="0"/>
    <pivotField numFmtId="14" showAll="0"/>
    <pivotField showAll="0"/>
    <pivotField showAll="0"/>
    <pivotField axis="axisPage" multipleItemSelectionAllowed="1" showAll="0">
      <items count="6">
        <item h="1" x="3"/>
        <item x="0"/>
        <item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multipleItemSelectionAllowed="1" showAll="0"/>
    <pivotField multipleItemSelectionAllowed="1" showAll="0"/>
    <pivotField axis="axisPage" showAll="0">
      <items count="4">
        <item x="1"/>
        <item x="0"/>
        <item x="2"/>
        <item t="default"/>
      </items>
    </pivotField>
    <pivotField showAll="0"/>
    <pivotField showAll="0"/>
  </pivotFields>
  <rowFields count="1">
    <field x="2"/>
  </rowFields>
  <rowItems count="7">
    <i>
      <x/>
    </i>
    <i>
      <x v="1"/>
    </i>
    <i>
      <x v="3"/>
    </i>
    <i>
      <x v="4"/>
    </i>
    <i>
      <x v="5"/>
    </i>
    <i>
      <x v="7"/>
    </i>
    <i t="grand">
      <x/>
    </i>
  </rowItems>
  <colItems count="1">
    <i/>
  </colItems>
  <pageFields count="2">
    <pageField fld="7" hier="-1"/>
    <pageField fld="44" item="0" hier="-1"/>
  </pageFields>
  <dataFields count="1">
    <dataField name="Contagem de Area"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8A0A28-43D3-4B4B-AFED-0C3D33CA497C}" name="Tabela dinâmica15"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95:E103" firstHeaderRow="1" firstDataRow="1" firstDataCol="1" rowPageCount="1" colPageCount="1"/>
  <pivotFields count="46">
    <pivotField showAll="0"/>
    <pivotField showAll="0"/>
    <pivotField axis="axisRow" showAll="0">
      <items count="11">
        <item x="1"/>
        <item x="4"/>
        <item x="3"/>
        <item x="0"/>
        <item x="5"/>
        <item x="2"/>
        <item x="7"/>
        <item x="6"/>
        <item x="8"/>
        <item m="1" x="9"/>
        <item t="default"/>
      </items>
    </pivotField>
    <pivotField dataField="1" showAll="0"/>
    <pivotField numFmtId="14" showAll="0"/>
    <pivotField showAll="0"/>
    <pivotField showAll="0"/>
    <pivotField axis="axisPage" multipleItemSelectionAllowed="1" showAll="0">
      <items count="6">
        <item h="1" x="3"/>
        <item x="0"/>
        <item h="1" x="1"/>
        <item x="2"/>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multipleItemSelectionAllowed="1" showAll="0"/>
    <pivotField multipleItemSelectionAllowed="1" showAll="0"/>
    <pivotField multipleItemSelectionAllowed="1" showAll="0"/>
    <pivotField showAll="0"/>
  </pivotFields>
  <rowFields count="1">
    <field x="2"/>
  </rowFields>
  <rowItems count="8">
    <i>
      <x/>
    </i>
    <i>
      <x v="1"/>
    </i>
    <i>
      <x v="2"/>
    </i>
    <i>
      <x v="3"/>
    </i>
    <i>
      <x v="4"/>
    </i>
    <i>
      <x v="5"/>
    </i>
    <i>
      <x v="7"/>
    </i>
    <i t="grand">
      <x/>
    </i>
  </rowItems>
  <colItems count="1">
    <i/>
  </colItems>
  <pageFields count="1">
    <pageField fld="7" hier="-1"/>
  </pageFields>
  <dataFields count="1">
    <dataField name="Contagem de Area"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4B2058-CAFD-45A4-83AD-DB7C1E59103B}" name="Tabela dinâmica16"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5:B64" firstHeaderRow="1" firstDataRow="1" firstDataCol="1" rowPageCount="1" colPageCount="1"/>
  <pivotFields count="47">
    <pivotField showAll="0"/>
    <pivotField showAll="0"/>
    <pivotField showAll="0"/>
    <pivotField dataField="1"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axis="axisRow" showAll="0" sortType="ascending">
      <items count="15">
        <item x="10"/>
        <item x="5"/>
        <item x="3"/>
        <item x="4"/>
        <item x="0"/>
        <item x="2"/>
        <item x="1"/>
        <item x="8"/>
        <item x="7"/>
        <item x="12"/>
        <item x="11"/>
        <item x="9"/>
        <item m="1" x="13"/>
        <item x="6"/>
        <item t="default"/>
      </items>
      <autoSortScope>
        <pivotArea dataOnly="0" outline="0" fieldPosition="0">
          <references count="1">
            <reference field="4294967294" count="1" selected="0">
              <x v="0"/>
            </reference>
          </references>
        </pivotArea>
      </autoSortScope>
    </pivotField>
  </pivotFields>
  <rowFields count="1">
    <field x="46"/>
  </rowFields>
  <rowItems count="9">
    <i>
      <x v="1"/>
    </i>
    <i>
      <x v="13"/>
    </i>
    <i>
      <x v="3"/>
    </i>
    <i>
      <x v="7"/>
    </i>
    <i>
      <x v="6"/>
    </i>
    <i>
      <x v="5"/>
    </i>
    <i>
      <x v="2"/>
    </i>
    <i>
      <x v="4"/>
    </i>
    <i t="grand">
      <x/>
    </i>
  </rowItems>
  <colItems count="1">
    <i/>
  </colItems>
  <pageFields count="1">
    <pageField fld="7" hier="-1"/>
  </pageFields>
  <dataFields count="1">
    <dataField name="Contagem de Area"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83F4E9-02BA-4BF2-9FE6-4086EDBD60B8}" name="Tabela dinâmica24"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Área">
  <location ref="A147:B152" firstHeaderRow="1" firstDataRow="1" firstDataCol="1" rowPageCount="1" colPageCount="1"/>
  <pivotFields count="47">
    <pivotField showAll="0"/>
    <pivotField showAll="0"/>
    <pivotField showAll="0"/>
    <pivotField axis="axisRow" dataField="1" showAll="0">
      <items count="10">
        <item x="6"/>
        <item x="5"/>
        <item x="3"/>
        <item x="0"/>
        <item x="7"/>
        <item x="2"/>
        <item x="1"/>
        <item x="4"/>
        <item x="8"/>
        <item t="default"/>
      </items>
    </pivotField>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showAll="0"/>
    <pivotField multipleItemSelectionAllowed="1" showAll="0"/>
    <pivotField showAll="0"/>
    <pivotField showAll="0"/>
    <pivotField showAll="0">
      <items count="15">
        <item x="10"/>
        <item x="5"/>
        <item x="3"/>
        <item x="4"/>
        <item x="0"/>
        <item x="11"/>
        <item x="2"/>
        <item x="1"/>
        <item x="8"/>
        <item x="7"/>
        <item x="12"/>
        <item x="9"/>
        <item m="1" x="13"/>
        <item x="6"/>
        <item t="default"/>
      </items>
    </pivotField>
  </pivotFields>
  <rowFields count="1">
    <field x="3"/>
  </rowFields>
  <rowItems count="5">
    <i>
      <x v="3"/>
    </i>
    <i>
      <x v="5"/>
    </i>
    <i>
      <x v="6"/>
    </i>
    <i>
      <x v="7"/>
    </i>
    <i t="grand">
      <x/>
    </i>
  </rowItems>
  <colItems count="1">
    <i/>
  </colItems>
  <pageFields count="1">
    <pageField fld="7" hier="-1"/>
  </pageFields>
  <dataFields count="1">
    <dataField name="Qtd" fld="3" subtotal="count" showDataAs="percentOfTotal" baseField="0" baseItem="0" numFmtId="10"/>
  </dataFields>
  <formats count="5">
    <format dxfId="135">
      <pivotArea grandRow="1" outline="0" collapsedLevelsAreSubtotals="1" fieldPosition="0"/>
    </format>
    <format dxfId="134">
      <pivotArea field="46" type="button" dataOnly="0" labelOnly="1" outline="0"/>
    </format>
    <format dxfId="133">
      <pivotArea dataOnly="0" labelOnly="1" outline="0" axis="axisValues" fieldPosition="0"/>
    </format>
    <format dxfId="132">
      <pivotArea outline="0" fieldPosition="0">
        <references count="1">
          <reference field="4294967294" count="1">
            <x v="0"/>
          </reference>
        </references>
      </pivotArea>
    </format>
    <format dxfId="131">
      <pivotArea collapsedLevelsAreSubtotals="1" fieldPosition="0">
        <references count="1">
          <reference field="3" count="4">
            <x v="1"/>
            <x v="3"/>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0A6838-501B-456A-A18E-7FDFB2367545}" name="Tabela dinâmica10"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63:L67" firstHeaderRow="1" firstDataRow="1" firstDataCol="1" rowPageCount="2" colPageCount="1"/>
  <pivotFields count="47">
    <pivotField showAll="0"/>
    <pivotField showAll="0"/>
    <pivotField showAll="0"/>
    <pivotField dataField="1"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showAll="0"/>
    <pivotField axis="axisPage" showAll="0">
      <items count="4">
        <item x="0"/>
        <item x="1"/>
        <item x="2"/>
        <item t="default"/>
      </items>
    </pivotField>
    <pivotField showAll="0"/>
    <pivotField showAll="0"/>
    <pivotField axis="axisRow" showAll="0">
      <items count="15">
        <item x="10"/>
        <item x="5"/>
        <item x="3"/>
        <item x="4"/>
        <item x="0"/>
        <item x="2"/>
        <item x="1"/>
        <item x="8"/>
        <item x="7"/>
        <item x="12"/>
        <item x="11"/>
        <item x="9"/>
        <item m="1" x="13"/>
        <item x="6"/>
        <item t="default"/>
      </items>
    </pivotField>
  </pivotFields>
  <rowFields count="1">
    <field x="46"/>
  </rowFields>
  <rowItems count="4">
    <i>
      <x v="3"/>
    </i>
    <i>
      <x v="4"/>
    </i>
    <i>
      <x v="13"/>
    </i>
    <i t="grand">
      <x/>
    </i>
  </rowItems>
  <colItems count="1">
    <i/>
  </colItems>
  <pageFields count="2">
    <pageField fld="43" item="1" hier="-1"/>
    <pageField fld="7" hier="-1"/>
  </pageFields>
  <dataFields count="1">
    <dataField name="Contagem de Area"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FB6443-4C82-427B-AE47-B93F0248C461}" name="Tabela dinâmica1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80:B87" firstHeaderRow="1" firstDataRow="1" firstDataCol="1" rowPageCount="2" colPageCount="1"/>
  <pivotFields count="47">
    <pivotField showAll="0"/>
    <pivotField showAll="0"/>
    <pivotField showAll="0"/>
    <pivotField dataField="1" showAll="0"/>
    <pivotField numFmtId="14" showAll="0"/>
    <pivotField showAll="0"/>
    <pivotField showAll="0"/>
    <pivotField axis="axisPage" multipleItemSelectionAllowed="1" showAll="0">
      <items count="6">
        <item h="1" x="3"/>
        <item x="0"/>
        <item x="1"/>
        <item x="2"/>
        <item h="1" x="4"/>
        <item t="default"/>
      </items>
    </pivotField>
    <pivotField showAll="0"/>
    <pivotField showAll="0"/>
    <pivotField showAll="0"/>
    <pivotField showAll="0"/>
    <pivotField showAll="0"/>
    <pivotField axis="axisRow" showAll="0" sortType="descending">
      <items count="8">
        <item n="ALEMS" x="3"/>
        <item x="2"/>
        <item x="1"/>
        <item x="5"/>
        <item x="0"/>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axis="axisPage" multipleItemSelectionAllowed="1" showAll="0">
      <items count="4">
        <item x="1"/>
        <item x="0"/>
        <item x="2"/>
        <item t="default"/>
      </items>
    </pivotField>
    <pivotField multipleItemSelectionAllowed="1" showAll="0"/>
    <pivotField showAll="0"/>
    <pivotField showAll="0"/>
    <pivotField showAll="0"/>
  </pivotFields>
  <rowFields count="1">
    <field x="13"/>
  </rowFields>
  <rowItems count="7">
    <i>
      <x v="4"/>
    </i>
    <i>
      <x v="1"/>
    </i>
    <i>
      <x v="2"/>
    </i>
    <i>
      <x/>
    </i>
    <i>
      <x v="6"/>
    </i>
    <i>
      <x v="3"/>
    </i>
    <i t="grand">
      <x/>
    </i>
  </rowItems>
  <colItems count="1">
    <i/>
  </colItems>
  <pageFields count="2">
    <pageField fld="42" hier="-1"/>
    <pageField fld="7" hier="-1"/>
  </pageFields>
  <dataFields count="1">
    <dataField name="Contagem de Area"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2E760F-60E4-4D29-AB5B-3F80DDB81A89}" name="Tabela dinâmica3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161:E172" firstHeaderRow="1" firstDataRow="2" firstDataCol="1"/>
  <pivotFields count="47">
    <pivotField showAll="0"/>
    <pivotField showAll="0"/>
    <pivotField axis="axisRow" showAll="0">
      <items count="11">
        <item x="1"/>
        <item x="4"/>
        <item x="3"/>
        <item x="0"/>
        <item x="7"/>
        <item x="5"/>
        <item x="8"/>
        <item x="2"/>
        <item x="6"/>
        <item x="9"/>
        <item t="default"/>
      </items>
    </pivotField>
    <pivotField dataField="1" showAll="0"/>
    <pivotField numFmtId="14" showAll="0"/>
    <pivotField showAll="0"/>
    <pivotField showAll="0"/>
    <pivotField axis="axisCol" multipleItemSelectionAllowed="1" showAll="0">
      <items count="6">
        <item h="1" x="3"/>
        <item x="0"/>
        <item x="1"/>
        <item x="2"/>
        <item h="1" x="4"/>
        <item t="default"/>
      </items>
    </pivotField>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multipleItemSelectionAllowed="1" showAll="0"/>
    <pivotField multipleItemSelectionAllowed="1" showAll="0"/>
    <pivotField showAll="0"/>
    <pivotField showAll="0"/>
    <pivotField showAll="0"/>
  </pivotFields>
  <rowFields count="1">
    <field x="2"/>
  </rowFields>
  <rowItems count="10">
    <i>
      <x/>
    </i>
    <i>
      <x v="1"/>
    </i>
    <i>
      <x v="2"/>
    </i>
    <i>
      <x v="3"/>
    </i>
    <i>
      <x v="4"/>
    </i>
    <i>
      <x v="5"/>
    </i>
    <i>
      <x v="6"/>
    </i>
    <i>
      <x v="7"/>
    </i>
    <i>
      <x v="8"/>
    </i>
    <i t="grand">
      <x/>
    </i>
  </rowItems>
  <colFields count="1">
    <field x="7"/>
  </colFields>
  <colItems count="4">
    <i>
      <x v="1"/>
    </i>
    <i>
      <x v="2"/>
    </i>
    <i>
      <x v="3"/>
    </i>
    <i t="grand">
      <x/>
    </i>
  </colItems>
  <dataFields count="1">
    <dataField name="Contagem de Area" fld="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576A4F6-0E22-4CE4-9BE5-7A0116D56F1F}" name="Tabela dinâmica23" cacheId="9"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4">
  <location ref="M79:N131" firstHeaderRow="1" firstDataRow="1" firstDataCol="1" rowPageCount="2" colPageCount="1"/>
  <pivotFields count="47">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showAll="0"/>
    <pivotField numFmtId="14" showAll="0"/>
    <pivotField showAll="0"/>
    <pivotField showAll="0"/>
    <pivotField axis="axisPage" multipleItemSelectionAllowed="1" showAll="0">
      <items count="6">
        <item h="1" x="3"/>
        <item x="0"/>
        <item x="1"/>
        <item x="2"/>
        <item h="1" x="4"/>
        <item t="default"/>
      </items>
    </pivotField>
    <pivotField showAll="0"/>
    <pivotField showAll="0"/>
    <pivotField showAll="0"/>
    <pivotField showAll="0"/>
    <pivotField axis="axisRow" showAll="0" sortType="ascending">
      <items count="53">
        <item x="39"/>
        <item x="47"/>
        <item x="18"/>
        <item x="42"/>
        <item x="25"/>
        <item x="16"/>
        <item x="50"/>
        <item x="8"/>
        <item x="28"/>
        <item x="49"/>
        <item x="46"/>
        <item x="7"/>
        <item x="27"/>
        <item x="0"/>
        <item x="4"/>
        <item x="43"/>
        <item x="36"/>
        <item x="29"/>
        <item x="13"/>
        <item x="21"/>
        <item x="26"/>
        <item x="48"/>
        <item x="40"/>
        <item x="24"/>
        <item x="9"/>
        <item x="37"/>
        <item x="23"/>
        <item x="33"/>
        <item x="1"/>
        <item x="10"/>
        <item x="41"/>
        <item x="38"/>
        <item x="30"/>
        <item x="22"/>
        <item x="11"/>
        <item x="34"/>
        <item x="44"/>
        <item x="32"/>
        <item x="6"/>
        <item x="31"/>
        <item x="35"/>
        <item x="51"/>
        <item x="3"/>
        <item x="2"/>
        <item x="5"/>
        <item x="12"/>
        <item x="45"/>
        <item x="14"/>
        <item x="15"/>
        <item x="17"/>
        <item x="19"/>
        <item x="2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axis="axisPage" multipleItemSelectionAllowed="1" showAll="0">
      <items count="4">
        <item x="1"/>
        <item x="0"/>
        <item x="2"/>
        <item t="default"/>
      </items>
    </pivotField>
    <pivotField multipleItemSelectionAllowed="1" showAll="0"/>
    <pivotField showAll="0"/>
    <pivotField showAll="0"/>
    <pivotField showAll="0"/>
  </pivotFields>
  <rowFields count="1">
    <field x="12"/>
  </rowFields>
  <rowItems count="52">
    <i>
      <x v="30"/>
    </i>
    <i>
      <x v="51"/>
    </i>
    <i>
      <x v="26"/>
    </i>
    <i>
      <x v="50"/>
    </i>
    <i>
      <x v="36"/>
    </i>
    <i>
      <x v="12"/>
    </i>
    <i>
      <x v="43"/>
    </i>
    <i>
      <x v="19"/>
    </i>
    <i>
      <x v="46"/>
    </i>
    <i>
      <x v="6"/>
    </i>
    <i>
      <x v="47"/>
    </i>
    <i>
      <x/>
    </i>
    <i>
      <x v="48"/>
    </i>
    <i>
      <x v="15"/>
    </i>
    <i>
      <x v="49"/>
    </i>
    <i>
      <x v="32"/>
    </i>
    <i>
      <x v="29"/>
    </i>
    <i>
      <x v="40"/>
    </i>
    <i>
      <x v="1"/>
    </i>
    <i>
      <x v="21"/>
    </i>
    <i>
      <x v="3"/>
    </i>
    <i>
      <x v="42"/>
    </i>
    <i>
      <x v="35"/>
    </i>
    <i>
      <x v="44"/>
    </i>
    <i>
      <x v="9"/>
    </i>
    <i>
      <x v="25"/>
    </i>
    <i>
      <x v="38"/>
    </i>
    <i>
      <x v="39"/>
    </i>
    <i>
      <x v="4"/>
    </i>
    <i>
      <x v="16"/>
    </i>
    <i>
      <x v="31"/>
    </i>
    <i>
      <x v="13"/>
    </i>
    <i>
      <x v="20"/>
    </i>
    <i>
      <x v="5"/>
    </i>
    <i>
      <x v="17"/>
    </i>
    <i>
      <x v="45"/>
    </i>
    <i>
      <x v="10"/>
    </i>
    <i>
      <x v="22"/>
    </i>
    <i>
      <x v="7"/>
    </i>
    <i>
      <x v="37"/>
    </i>
    <i>
      <x v="24"/>
    </i>
    <i>
      <x v="8"/>
    </i>
    <i>
      <x v="14"/>
    </i>
    <i>
      <x v="33"/>
    </i>
    <i>
      <x v="27"/>
    </i>
    <i>
      <x v="23"/>
    </i>
    <i>
      <x v="2"/>
    </i>
    <i>
      <x v="34"/>
    </i>
    <i>
      <x v="28"/>
    </i>
    <i>
      <x v="18"/>
    </i>
    <i>
      <x v="11"/>
    </i>
    <i t="grand">
      <x/>
    </i>
  </rowItems>
  <colItems count="1">
    <i/>
  </colItems>
  <pageFields count="2">
    <pageField fld="42" hier="-1"/>
    <pageField fld="7" hier="-1"/>
  </pageFields>
  <dataFields count="1">
    <dataField name="Contagem de Area" fld="3"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3BB3C82-B9C5-4980-8A71-9FFEEE37A78D}" name="Tabela dinâmica6"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8:D13" firstHeaderRow="1" firstDataRow="2" firstDataCol="1"/>
  <pivotFields count="47">
    <pivotField showAll="0"/>
    <pivotField showAll="0"/>
    <pivotField showAll="0"/>
    <pivotField showAll="0"/>
    <pivotField numFmtId="14" showAll="0"/>
    <pivotField showAll="0"/>
    <pivotField showAll="0"/>
    <pivotField axis="axisRow" dataField="1" showAll="0">
      <items count="6">
        <item h="1" x="3"/>
        <item x="0"/>
        <item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axis="axisCol" showAll="0">
      <items count="4">
        <item x="1"/>
        <item x="0"/>
        <item x="2"/>
        <item t="default"/>
      </items>
    </pivotField>
    <pivotField showAll="0"/>
    <pivotField showAll="0"/>
    <pivotField showAll="0"/>
    <pivotField showAll="0"/>
  </pivotFields>
  <rowFields count="1">
    <field x="7"/>
  </rowFields>
  <rowItems count="4">
    <i>
      <x v="1"/>
    </i>
    <i>
      <x v="2"/>
    </i>
    <i>
      <x v="3"/>
    </i>
    <i t="grand">
      <x/>
    </i>
  </rowItems>
  <colFields count="1">
    <field x="42"/>
  </colFields>
  <colItems count="3">
    <i>
      <x/>
    </i>
    <i>
      <x v="1"/>
    </i>
    <i t="grand">
      <x/>
    </i>
  </colItems>
  <dataFields count="1">
    <dataField name="Contagem de Status_Aca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4BFD2A-D6CF-40E4-94E4-BCB4DA5EE2F1}" name="Tabela dinâmica5"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5" firstHeaderRow="1" firstDataRow="2" firstDataCol="1"/>
  <pivotFields count="47">
    <pivotField showAll="0"/>
    <pivotField showAll="0"/>
    <pivotField showAll="0"/>
    <pivotField showAll="0"/>
    <pivotField numFmtId="14" showAll="0"/>
    <pivotField showAll="0"/>
    <pivotField showAll="0"/>
    <pivotField axis="axisCol" dataField="1" showAll="0">
      <items count="6">
        <item h="1" x="3"/>
        <item x="0"/>
        <item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s>
  <rowItems count="1">
    <i/>
  </rowItems>
  <colFields count="1">
    <field x="7"/>
  </colFields>
  <colItems count="4">
    <i>
      <x v="1"/>
    </i>
    <i>
      <x v="2"/>
    </i>
    <i>
      <x v="3"/>
    </i>
    <i t="grand">
      <x/>
    </i>
  </colItems>
  <dataFields count="1">
    <dataField name="Contagem de Status_Acao" fld="7" subtotal="count" baseField="0" baseItem="0"/>
  </dataFields>
  <formats count="1">
    <format dxfId="136">
      <pivotArea outline="0" collapsedLevelsAreSubtotals="1" fieldPosition="0">
        <references count="1">
          <reference field="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A9CA50-531D-4A9F-8457-BC30B631733D}" name="Tabela dinâmica20"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Área">
  <location ref="D109:E112" firstHeaderRow="1" firstDataRow="1" firstDataCol="1" rowPageCount="3" colPageCount="1"/>
  <pivotFields count="47">
    <pivotField showAll="0"/>
    <pivotField showAll="0"/>
    <pivotField showAll="0"/>
    <pivotField dataField="1"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axis="axisPage" multipleItemSelectionAllowed="1" showAll="0">
      <items count="4">
        <item x="1"/>
        <item h="1" x="0"/>
        <item x="2"/>
        <item t="default"/>
      </items>
    </pivotField>
    <pivotField axis="axisPage" multipleItemSelectionAllowed="1" showAll="0">
      <items count="4">
        <item h="1" x="0"/>
        <item x="1"/>
        <item h="1" x="2"/>
        <item t="default"/>
      </items>
    </pivotField>
    <pivotField showAll="0"/>
    <pivotField showAll="0"/>
    <pivotField axis="axisRow" showAll="0">
      <items count="15">
        <item x="10"/>
        <item x="5"/>
        <item x="3"/>
        <item x="4"/>
        <item x="0"/>
        <item x="2"/>
        <item x="1"/>
        <item x="8"/>
        <item x="7"/>
        <item x="12"/>
        <item x="11"/>
        <item x="9"/>
        <item m="1" x="13"/>
        <item x="6"/>
        <item t="default"/>
      </items>
    </pivotField>
  </pivotFields>
  <rowFields count="1">
    <field x="46"/>
  </rowFields>
  <rowItems count="3">
    <i>
      <x v="3"/>
    </i>
    <i>
      <x v="4"/>
    </i>
    <i t="grand">
      <x/>
    </i>
  </rowItems>
  <colItems count="1">
    <i/>
  </colItems>
  <pageFields count="3">
    <pageField fld="42" hier="-1"/>
    <pageField fld="43" hier="-1"/>
    <pageField fld="7" hier="-1"/>
  </pageFields>
  <dataFields count="1">
    <dataField name="Contagem de Area" fld="3" subtotal="count" baseField="0" baseItem="0"/>
  </dataFields>
  <formats count="1">
    <format dxfId="137">
      <pivotArea collapsedLevelsAreSubtotals="1" fieldPosition="0">
        <references count="1">
          <reference field="46"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F9F10F-17F4-426D-BD8F-6A5D4F68D710}" name="Tabela dinâmica9"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A43:B48" firstHeaderRow="1" firstDataRow="1" firstDataCol="1" rowPageCount="1" colPageCount="1"/>
  <pivotFields count="47">
    <pivotField showAll="0"/>
    <pivotField showAll="0"/>
    <pivotField showAll="0"/>
    <pivotField axis="axisRow" dataField="1" showAll="0" sortType="ascending">
      <items count="10">
        <item x="6"/>
        <item x="5"/>
        <item x="3"/>
        <item x="0"/>
        <item x="7"/>
        <item x="2"/>
        <item x="1"/>
        <item x="4"/>
        <item x="8"/>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s>
  <rowFields count="1">
    <field x="3"/>
  </rowFields>
  <rowItems count="5">
    <i>
      <x v="7"/>
    </i>
    <i>
      <x v="6"/>
    </i>
    <i>
      <x v="5"/>
    </i>
    <i>
      <x v="3"/>
    </i>
    <i t="grand">
      <x/>
    </i>
  </rowItems>
  <colItems count="1">
    <i/>
  </colItems>
  <pageFields count="1">
    <pageField fld="7" hier="-1"/>
  </pageFields>
  <dataFields count="1">
    <dataField name="Contagem de Area" fld="3" subtotal="count" showDataAs="percentOfTotal" baseField="0" baseItem="0" numFmtId="10"/>
  </dataFields>
  <formats count="1">
    <format dxfId="138">
      <pivotArea collapsedLevelsAreSubtotals="1" fieldPosition="0">
        <references count="1">
          <reference field="3" count="5">
            <x v="1"/>
            <x v="3"/>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FBCB3A3-F94C-40B6-A914-817FE3C53DE2}" name="Tabela dinâmica7"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9:B22" firstHeaderRow="1" firstDataRow="1" firstDataCol="1" rowPageCount="2" colPageCount="1"/>
  <pivotFields count="47">
    <pivotField showAll="0"/>
    <pivotField showAll="0"/>
    <pivotField showAll="0"/>
    <pivotField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axis="axisPage" showAll="0">
      <items count="4">
        <item x="1"/>
        <item x="0"/>
        <item x="2"/>
        <item t="default"/>
      </items>
    </pivotField>
    <pivotField axis="axisRow" dataField="1" showAll="0">
      <items count="4">
        <item x="0"/>
        <item x="1"/>
        <item x="2"/>
        <item t="default"/>
      </items>
    </pivotField>
    <pivotField showAll="0"/>
    <pivotField showAll="0"/>
    <pivotField showAll="0"/>
  </pivotFields>
  <rowFields count="1">
    <field x="43"/>
  </rowFields>
  <rowItems count="3">
    <i>
      <x/>
    </i>
    <i>
      <x v="1"/>
    </i>
    <i t="grand">
      <x/>
    </i>
  </rowItems>
  <colItems count="1">
    <i/>
  </colItems>
  <pageFields count="2">
    <pageField fld="7" hier="-1"/>
    <pageField fld="42" item="0" hier="-1"/>
  </pageFields>
  <dataFields count="1">
    <dataField name="Contagem de Risco" fld="4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D085F3A-A16F-41A9-932F-5F298B4D5E80}" name="Tabela dinâmica8"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8:B36" firstHeaderRow="1" firstDataRow="1" firstDataCol="1" rowPageCount="1" colPageCount="1"/>
  <pivotFields count="47">
    <pivotField showAll="0"/>
    <pivotField showAll="0"/>
    <pivotField axis="axisRow" dataField="1" showAll="0" sortType="ascending">
      <items count="11">
        <item x="1"/>
        <item x="4"/>
        <item x="3"/>
        <item x="0"/>
        <item x="5"/>
        <item x="2"/>
        <item x="7"/>
        <item x="6"/>
        <item x="8"/>
        <item x="9"/>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axis="axisPage" multipleItemSelectionAllowed="1" showAll="0">
      <items count="6">
        <item h="1" x="3"/>
        <item x="0"/>
        <item h="1"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s>
  <rowFields count="1">
    <field x="2"/>
  </rowFields>
  <rowItems count="8">
    <i>
      <x v="1"/>
    </i>
    <i>
      <x v="7"/>
    </i>
    <i>
      <x v="4"/>
    </i>
    <i>
      <x/>
    </i>
    <i>
      <x v="2"/>
    </i>
    <i>
      <x v="5"/>
    </i>
    <i>
      <x v="3"/>
    </i>
    <i t="grand">
      <x/>
    </i>
  </rowItems>
  <colItems count="1">
    <i/>
  </colItems>
  <pageFields count="1">
    <pageField fld="7" hier="-1"/>
  </pageFields>
  <dataFields count="1">
    <dataField name="Contagem de Tipologia"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86D1C83-BB74-4474-99C2-2BEC17025123}" name="Tabela13" displayName="Tabela13" ref="A1:V57" totalsRowShown="0" headerRowDxfId="121" dataDxfId="120">
  <autoFilter ref="A1:V57" xr:uid="{686D1C83-BB74-4474-99C2-2BEC17025123}"/>
  <sortState xmlns:xlrd2="http://schemas.microsoft.com/office/spreadsheetml/2017/richdata2" ref="A2:V57">
    <sortCondition ref="C2:C57"/>
  </sortState>
  <tableColumns count="22">
    <tableColumn id="1" xr3:uid="{7CAA6FDE-57FB-4FD1-A184-D77E6F45F3D0}" name="ID" dataDxfId="119"/>
    <tableColumn id="3" xr3:uid="{16EB01B4-0A6B-433F-B865-479527C6C334}" name="Tipologia" dataDxfId="118"/>
    <tableColumn id="5" xr3:uid="{793E28AD-3F85-4E98-BA7E-BFBB792A2A42}" name="Data_Manifestacao" dataDxfId="117"/>
    <tableColumn id="8" xr3:uid="{4F38E481-CE2D-47B1-9A28-E340A53880CE}" name="Status_Acao" dataDxfId="116"/>
    <tableColumn id="9" xr3:uid="{257EFEE9-97EE-4AB5-8DF8-A2D4CE0EF445}" name="Cliente" dataDxfId="115"/>
    <tableColumn id="10" xr3:uid="{86D23FAA-F40A-4D1D-B521-00D004D48BAB}" name="UC" dataDxfId="114"/>
    <tableColumn id="11" xr3:uid="{38C56A1C-CAD5-4650-BFD9-F7C800028D95}" name="Obra_Const_Man" dataDxfId="113"/>
    <tableColumn id="12" xr3:uid="{AE37E9BF-B795-4D72-94CF-797F10FD8DDD}" name="Regional" dataDxfId="112"/>
    <tableColumn id="13" xr3:uid="{E86E7066-F85E-40C7-B73F-C2CA13757389}" name="Localidade" dataDxfId="111"/>
    <tableColumn id="14" xr3:uid="{2909BB97-C0D2-466B-ADCB-3D507C4C09AD}" name="Poder" dataDxfId="110"/>
    <tableColumn id="15" xr3:uid="{B69B23B1-4A4D-4155-82A1-495F7DB48A6F}" name="Prefeitura" dataDxfId="109"/>
    <tableColumn id="16" xr3:uid="{A69A053A-6041-4730-AE4B-060B2BC96A75}" name="Manifestação" dataDxfId="108"/>
    <tableColumn id="20" xr3:uid="{342762B4-306C-4AB1-A572-53900747EE4A}" name="Resposta_Area" dataDxfId="107"/>
    <tableColumn id="24" xr3:uid="{F1ABB837-A34F-44E7-B1E2-3459058CB2BA}" name="Resp_Tratativa" dataDxfId="106"/>
    <tableColumn id="26" xr3:uid="{E2F9388B-EFD2-4338-9EDD-24E2D74569EF}" name="Participantes_Municipio" dataDxfId="105"/>
    <tableColumn id="36" xr3:uid="{78CAD459-5FEF-47D6-BD80-B0FC4D955776}" name="Peso_Geral" dataDxfId="104"/>
    <tableColumn id="37" xr3:uid="{173EFA27-E684-4E8E-9462-59B8765B8387}" name="Processo" dataDxfId="103"/>
    <tableColumn id="38" xr3:uid="{88478098-FCB9-4DC1-9930-E80690E938A6}" name="Previsao" dataDxfId="102"/>
    <tableColumn id="39" xr3:uid="{32D9974B-2F34-479A-9424-49C5316C2642}" name="Sub_Areas" dataDxfId="101"/>
    <tableColumn id="40" xr3:uid="{D8024F53-BE07-4C60-9935-DC1BA2B9B060}" name="Supervisão" dataDxfId="100"/>
    <tableColumn id="46" xr3:uid="{3D6116B6-D661-44F4-9256-6E2CED381DD5}" name="SLA" dataDxfId="99"/>
    <tableColumn id="47" xr3:uid="{8AEBE5AE-ADA6-467A-A505-B3E52118B63A}" name="Area 2" dataDxfId="9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A667C8-59DC-4D63-B878-7B7D38174B01}" name="Tabela4" displayName="Tabela4" ref="A3:AU20" totalsRowShown="0" headerRowDxfId="97" dataDxfId="96">
  <autoFilter ref="A3:AU20" xr:uid="{0CA667C8-59DC-4D63-B878-7B7D38174B01}"/>
  <sortState xmlns:xlrd2="http://schemas.microsoft.com/office/spreadsheetml/2017/richdata2" ref="A4:AU20">
    <sortCondition ref="A4:A20"/>
  </sortState>
  <tableColumns count="47">
    <tableColumn id="1" xr3:uid="{B3FCF569-9580-4B7A-9CF9-719746BAA05B}" name="ID" dataDxfId="95"/>
    <tableColumn id="14" xr3:uid="{E21C2E50-56FC-46AD-AF4F-B502A96633F5}" name="Tipologia" dataDxfId="94"/>
    <tableColumn id="11" xr3:uid="{33BCCC06-5251-4AD7-A219-04F45DB75F94}" name="Poder" dataDxfId="93"/>
    <tableColumn id="46" xr3:uid="{1B0924F7-7A61-4C4F-8ED6-A063B6DD9ED5}" name="Area 2" dataDxfId="92"/>
    <tableColumn id="10" xr3:uid="{F57D1A28-5D82-4E3A-8288-9767B6F052BF}" name="Localidade" dataDxfId="91"/>
    <tableColumn id="47" xr3:uid="{87BB257F-F21E-4769-99B3-4A034C1BC27A}" name="Area" dataDxfId="90"/>
    <tableColumn id="2" xr3:uid="{C8BF1188-BA5C-410A-92E4-B103CCA30484}" name="Coluna1" dataDxfId="89">
      <calculatedColumnFormula>VLOOKUP(Tabela4[[#This Row],[ID]],'Prioridades s-1'!A:A,1,0)</calculatedColumnFormula>
    </tableColumn>
    <tableColumn id="13" xr3:uid="{6D8F916D-B9EE-4F01-AE4B-AF8A1C52FF91}" name="Data_Manifestacao" dataDxfId="88"/>
    <tableColumn id="4" xr3:uid="{54994F4C-91E8-4133-9CD4-15A818B96EE3}" name="Agente" dataDxfId="87"/>
    <tableColumn id="5" xr3:uid="{D3BABC5C-FD86-4AB4-BC13-0E231EE4FBBF}" name="Status_Solicitação" dataDxfId="86"/>
    <tableColumn id="6" xr3:uid="{ABD29CB6-52B8-4D9E-8A5C-AB8625C51E85}" name="Status_Acao" dataDxfId="85"/>
    <tableColumn id="7" xr3:uid="{7481A161-646E-42F0-B7E9-5B0577C76F67}" name="Cliente" dataDxfId="84"/>
    <tableColumn id="8" xr3:uid="{1D1F0B6F-A939-4121-98CB-ACEA187D194E}" name="UC" dataDxfId="83"/>
    <tableColumn id="48" xr3:uid="{4A0F9062-900B-4255-96A9-2076B24A199B}" name="Obra_Const_Man" dataDxfId="82"/>
    <tableColumn id="9" xr3:uid="{BC969B76-8AC1-4AC2-ABE1-DCD1B1080813}" name="Regional" dataDxfId="81"/>
    <tableColumn id="12" xr3:uid="{EFC1F63A-77C4-49B5-880C-A28606EE805B}" name="Prefeitura" dataDxfId="80"/>
    <tableColumn id="15" xr3:uid="{64E8FC22-5ABC-42A8-B231-E01A185CC5A3}" name="Manifestação" dataDxfId="79"/>
    <tableColumn id="16" xr3:uid="{D8C08A68-E26C-4323-9091-115F9F19C661}" name="Data_Envio_Area" dataDxfId="78"/>
    <tableColumn id="17" xr3:uid="{E804A20D-F2E9-44B6-A354-680A80A83293}" name="Descricao_da_acao" dataDxfId="77"/>
    <tableColumn id="18" xr3:uid="{1B8AC11D-E696-4361-95B2-5A0CF52CB055}" name="Data_Resp_Area" dataDxfId="76"/>
    <tableColumn id="19" xr3:uid="{1C47E7EC-739A-411B-8375-238820117D3A}" name="Resposta_Area" dataDxfId="75"/>
    <tableColumn id="20" xr3:uid="{A40814C2-5FFD-49FE-A90B-A52A2E631E3F}" name="Expectativa_Cliente" dataDxfId="74"/>
    <tableColumn id="21" xr3:uid="{136956E7-53CB-4360-AEE5-60C70B5B77DE}" name="Data_Prev_Acao" dataDxfId="73"/>
    <tableColumn id="22" xr3:uid="{396E42BC-1729-4456-A3C4-D8F35CD70C21}" name="Data_Conclusao" dataDxfId="72"/>
    <tableColumn id="23" xr3:uid="{205D5AE1-B9C0-4D36-B04A-6EDF12AD7EBA}" name="Resp_Tratativa" dataDxfId="71"/>
    <tableColumn id="24" xr3:uid="{A70662A1-84E2-4B45-8BF2-505CFAAEAB8C}" name="Registrado_por" dataDxfId="70"/>
    <tableColumn id="25" xr3:uid="{C5359A77-9D9B-4320-92D6-2C64D8A79A15}" name="Participantes_Municipio" dataDxfId="69"/>
    <tableColumn id="26" xr3:uid="{241ADCE4-E055-4805-A5E2-AAA8D72D3CD8}" name="Participantes_Energisa_txt" dataDxfId="68"/>
    <tableColumn id="27" xr3:uid="{8FDEEC18-C0B5-4F53-A45F-9D3166F80F89}" name="Critico" dataDxfId="67"/>
    <tableColumn id="28" xr3:uid="{35E88B0F-AE82-4D8B-9F81-4B70730874CD}" name="Acao" dataDxfId="66"/>
    <tableColumn id="29" xr3:uid="{7690C9A5-C0C8-4072-9B3A-92EB8D4CF626}" name="Modificado" dataDxfId="65"/>
    <tableColumn id="30" xr3:uid="{D27D3597-CEDA-4C25-9F66-B32426DA5961}" name="Modificado por.title" dataDxfId="64"/>
    <tableColumn id="31" xr3:uid="{04793CE0-7AFD-47EE-A307-A0F3953258FF}" name="Criado" dataDxfId="63"/>
    <tableColumn id="32" xr3:uid="{B505DE6A-856B-4799-A83F-267AEC17C948}" name="Criado por.title" dataDxfId="62"/>
    <tableColumn id="33" xr3:uid="{8721E66F-EA4F-4CAB-882A-FDB58DF4631B}" name="Peso_I_INST" dataDxfId="61"/>
    <tableColumn id="34" xr3:uid="{C18F8E1B-EDAB-43E2-B758-C38209DC42D8}" name="Peso_I_INST_2" dataDxfId="60"/>
    <tableColumn id="35" xr3:uid="{AE198A62-0061-45DF-AD52-6D1600129691}" name="Peso_Geral" dataDxfId="59"/>
    <tableColumn id="36" xr3:uid="{2571D853-057D-4BE8-BF56-4965629C2904}" name="Processo" dataDxfId="58"/>
    <tableColumn id="37" xr3:uid="{49B58316-25AC-4E31-98FB-F9570C6F9E64}" name="Previsao" dataDxfId="57"/>
    <tableColumn id="38" xr3:uid="{99429F61-64A0-459B-BD77-05AEC42E8427}" name="Sub_Areas" dataDxfId="56"/>
    <tableColumn id="39" xr3:uid="{D9E42088-EAE5-42BA-BE2D-70F18830C6A2}" name="Supervisão" dataDxfId="55"/>
    <tableColumn id="40" xr3:uid="{3A28DE40-5C7E-405E-B7FF-57236A50021D}" name="dias das soliictações" dataDxfId="54"/>
    <tableColumn id="41" xr3:uid="{BAC93AD7-5A7D-4D62-849A-3AEEF4A1046B}" name="aging" dataDxfId="53"/>
    <tableColumn id="42" xr3:uid="{6C5E3139-285F-4B54-B930-47132CAB1CF6}" name="Expectativa" dataDxfId="52"/>
    <tableColumn id="43" xr3:uid="{02794B0A-6CCF-492F-A296-77CE4B4CA6C1}" name="Risco" dataDxfId="51"/>
    <tableColumn id="44" xr3:uid="{6483B34E-1B20-4D89-9DD5-56F352F0FBE6}" name="Integrar" dataDxfId="50"/>
    <tableColumn id="45" xr3:uid="{8735AF89-DA9F-4C50-96B6-68DA0B4F0FE7}" name="SLA" dataDxfId="4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74C92AB-0A14-42AE-99A0-91097478075E}" name="Tabela413" displayName="Tabela413" ref="A3:AU27" totalsRowShown="0" headerRowDxfId="48" dataDxfId="47">
  <autoFilter ref="A3:AU27" xr:uid="{F74C92AB-0A14-42AE-99A0-91097478075E}"/>
  <tableColumns count="47">
    <tableColumn id="1" xr3:uid="{CE091FAA-6456-4CDD-8995-EFE26703D646}" name="ID" dataDxfId="46"/>
    <tableColumn id="3" xr3:uid="{3CEB1418-DB80-4803-A53F-189F7E06113C}" name="Tipologia" dataDxfId="45"/>
    <tableColumn id="14" xr3:uid="{9433F8AD-5245-4F0C-982D-EA074448F8D5}" name="Poder" dataDxfId="44"/>
    <tableColumn id="47" xr3:uid="{760C7B61-E21F-4432-8A78-CE0201C1DEC1}" name="Area 2" dataDxfId="43"/>
    <tableColumn id="13" xr3:uid="{8C7B9FBB-0257-4F71-AF8D-976C7D63EBEC}" name="Localidade" dataDxfId="42"/>
    <tableColumn id="4" xr3:uid="{4FF13F0F-6413-454B-AD77-1E2927BC5F22}" name="Area" dataDxfId="41"/>
    <tableColumn id="5" xr3:uid="{B1241737-7754-4629-9C84-2142A60A388B}" name="Data_Manifestacao" dataDxfId="40"/>
    <tableColumn id="6" xr3:uid="{76893B1D-2E2D-413B-879D-5DB6D055B030}" name="Agente" dataDxfId="39"/>
    <tableColumn id="7" xr3:uid="{05B07D75-1EC1-4702-B887-81E832319DBF}" name="Status_Solicitação" dataDxfId="38"/>
    <tableColumn id="8" xr3:uid="{29EA3CB3-46C7-42F1-A065-F887BC5062AE}" name="Status_Acao" dataDxfId="37"/>
    <tableColumn id="48" xr3:uid="{025735FC-D1F8-4AE7-9FFF-0272CCFEE4E2}" name="Coluna1" dataDxfId="36"/>
    <tableColumn id="9" xr3:uid="{16AD01C1-653A-42EB-BE83-2DC5629D988B}" name="Cliente" dataDxfId="35"/>
    <tableColumn id="10" xr3:uid="{FFAB5386-0748-4CA8-89F3-90A6A095E061}" name="UC" dataDxfId="34"/>
    <tableColumn id="11" xr3:uid="{7224E782-911B-491D-8C41-F0702A639D3B}" name="Obra_Const_Man" dataDxfId="33"/>
    <tableColumn id="12" xr3:uid="{87C83201-12F0-4683-B20E-36367816E318}" name="Regional" dataDxfId="32"/>
    <tableColumn id="15" xr3:uid="{F1A07953-408A-4F2A-9DF7-6A2E09DC491E}" name="Prefeitura" dataDxfId="31"/>
    <tableColumn id="16" xr3:uid="{224AF902-1B97-4DE2-9BEE-0CC7B7CEC3AA}" name="Manifestação" dataDxfId="30"/>
    <tableColumn id="17" xr3:uid="{F46991C2-C076-4F6D-B34B-6EC3F5133FE5}" name="Data_Envio_Area" dataDxfId="29"/>
    <tableColumn id="18" xr3:uid="{E9AF7E53-5D74-43EA-ABE0-DEF54E28812B}" name="Descricao_da_acao" dataDxfId="28"/>
    <tableColumn id="19" xr3:uid="{A507D074-908E-441F-A73F-0439687FDACC}" name="Data_Resp_Area" dataDxfId="27"/>
    <tableColumn id="20" xr3:uid="{4BE8666B-813B-456D-B334-4219DB437D81}" name="Resposta_Area" dataDxfId="26"/>
    <tableColumn id="21" xr3:uid="{12A85828-9DC1-47C2-B6C0-98F38842300A}" name="Expectativa_Cliente" dataDxfId="25"/>
    <tableColumn id="22" xr3:uid="{75CD52AE-5E45-417A-93D4-45029A35302A}" name="Data_Prev_Acao" dataDxfId="24"/>
    <tableColumn id="23" xr3:uid="{1A6E0E30-2182-48E6-80F7-1F1FD4CFB478}" name="Data_Conclusao" dataDxfId="23"/>
    <tableColumn id="24" xr3:uid="{EE91BC5C-1E42-4653-AD5E-2EA2716619B5}" name="Resp_Tratativa" dataDxfId="22"/>
    <tableColumn id="25" xr3:uid="{3EFE5B49-BF6A-4B04-9B1C-868D8FAFF6DA}" name="Registrado_por" dataDxfId="21"/>
    <tableColumn id="26" xr3:uid="{EB7B788C-013A-4929-BD2B-3A84E7BB3F4B}" name="Participantes_Municipio" dataDxfId="20"/>
    <tableColumn id="27" xr3:uid="{7B22311A-DFF4-4AC3-B97D-0CFA653070FF}" name="Participantes_Energisa_txt" dataDxfId="19"/>
    <tableColumn id="28" xr3:uid="{2AB25CAE-1028-4D37-907B-83DAFC5EAE66}" name="Critico" dataDxfId="18"/>
    <tableColumn id="29" xr3:uid="{47AC4E56-1991-41FE-88D6-D2445F2A235A}" name="Acao" dataDxfId="17"/>
    <tableColumn id="30" xr3:uid="{43E11DBE-4370-45CA-A7AC-F1E882FB1C4C}" name="Modificado" dataDxfId="16"/>
    <tableColumn id="31" xr3:uid="{B6390528-E4E9-44DD-93BA-585B1D8CF22A}" name="Modificado por.title" dataDxfId="15"/>
    <tableColumn id="32" xr3:uid="{07E35C38-B19B-4379-8184-B997F4445EC5}" name="Criado" dataDxfId="14"/>
    <tableColumn id="33" xr3:uid="{73F85716-FDAB-4FE8-B11A-C1AD04E5D7A1}" name="Criado por.title" dataDxfId="13"/>
    <tableColumn id="34" xr3:uid="{10AD5259-DAE8-4D5D-B70B-E17FAEB2FD8E}" name="Peso_I_INST" dataDxfId="12"/>
    <tableColumn id="35" xr3:uid="{6E1E9266-F4AA-4A6B-A204-CD449C735B79}" name="Peso_I_INST_2" dataDxfId="11"/>
    <tableColumn id="36" xr3:uid="{1ABAD5A8-2D9D-4421-9FDC-1252E9F7A6CF}" name="Peso_Geral" dataDxfId="10"/>
    <tableColumn id="37" xr3:uid="{8D19661E-537E-4DFC-A5E2-497CA886DAE5}" name="Processo" dataDxfId="9"/>
    <tableColumn id="38" xr3:uid="{8681DC1C-C17F-4042-AA8D-434B0B987496}" name="Previsao" dataDxfId="8"/>
    <tableColumn id="39" xr3:uid="{DC909D02-F031-4ADA-BD38-0ADEA19068FD}" name="Sub_Areas" dataDxfId="7"/>
    <tableColumn id="40" xr3:uid="{C55476C0-6A53-4639-8715-1BAC93E462E8}" name="Supervisão" dataDxfId="6"/>
    <tableColumn id="41" xr3:uid="{7166455E-106A-4469-8484-CA1940112907}" name="dias das soliictações" dataDxfId="5"/>
    <tableColumn id="42" xr3:uid="{849A56A0-544E-4EFA-9E22-2D8456F85BFC}" name="aging" dataDxfId="4"/>
    <tableColumn id="43" xr3:uid="{ADEAA762-9BF7-4824-8E7E-E273A255659D}" name="Expectativa" dataDxfId="3"/>
    <tableColumn id="44" xr3:uid="{132DC1E0-0A1D-4B8A-8838-E530E22C1AAD}" name="Risco" dataDxfId="2"/>
    <tableColumn id="45" xr3:uid="{6D81D34B-FD22-46F4-97E5-B295C7DEA1A3}" name="Integrar" dataDxfId="1"/>
    <tableColumn id="46" xr3:uid="{1A046FE3-BB24-4FBB-9D82-F5576F96BA30}" name="SLA"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240A-AF23-4B2A-837C-0B0E7B0C3310}">
  <dimension ref="A1:AV215"/>
  <sheetViews>
    <sheetView topLeftCell="S1" zoomScale="70" zoomScaleNormal="70" workbookViewId="0">
      <selection activeCell="AU2" sqref="AU2"/>
    </sheetView>
  </sheetViews>
  <sheetFormatPr defaultColWidth="9" defaultRowHeight="15" x14ac:dyDescent="0.25"/>
  <cols>
    <col min="1" max="1" width="7.5703125" customWidth="1"/>
    <col min="2" max="2" width="19.5703125" bestFit="1" customWidth="1"/>
    <col min="3" max="3" width="22" bestFit="1" customWidth="1"/>
    <col min="4" max="4" width="15.140625" customWidth="1"/>
    <col min="5" max="5" width="14.140625" customWidth="1"/>
    <col min="6" max="6" width="12.5703125" customWidth="1"/>
    <col min="7" max="7" width="17.42578125" customWidth="1"/>
    <col min="8" max="8" width="14.42578125" customWidth="1"/>
    <col min="9" max="9" width="15.42578125" customWidth="1"/>
    <col min="10" max="10" width="8" customWidth="1"/>
    <col min="11" max="11" width="10.7109375" customWidth="1"/>
    <col min="12" max="12" width="8.7109375" customWidth="1"/>
    <col min="13" max="13" width="21.42578125" customWidth="1"/>
    <col min="14" max="14" width="10.42578125" customWidth="1"/>
    <col min="15" max="15" width="14.85546875" customWidth="1"/>
    <col min="16" max="16" width="19.5703125" customWidth="1"/>
    <col min="17" max="17" width="15.7109375" customWidth="1"/>
    <col min="18" max="18" width="21" customWidth="1"/>
    <col min="19" max="19" width="15.28515625" customWidth="1"/>
    <col min="20" max="20" width="15.42578125" customWidth="1"/>
    <col min="21" max="21" width="18" customWidth="1"/>
    <col min="22" max="22" width="15.140625" customWidth="1"/>
    <col min="23" max="23" width="15.5703125" customWidth="1"/>
    <col min="24" max="24" width="14" customWidth="1"/>
    <col min="25" max="25" width="19.140625" customWidth="1"/>
    <col min="26" max="26" width="12.7109375" customWidth="1"/>
    <col min="27" max="27" width="12.140625" customWidth="1"/>
    <col min="28" max="28" width="6.7109375" customWidth="1"/>
    <col min="29" max="29" width="10.85546875" customWidth="1"/>
    <col min="30" max="33" width="11" customWidth="1"/>
    <col min="34" max="34" width="11.28515625" customWidth="1"/>
    <col min="35" max="35" width="10.42578125" customWidth="1"/>
    <col min="36" max="39" width="12" customWidth="1"/>
    <col min="40" max="40" width="24" style="39" customWidth="1"/>
    <col min="41" max="42" width="10.7109375" style="46" customWidth="1"/>
    <col min="45" max="45" width="11.42578125" style="46" customWidth="1"/>
    <col min="47" max="48" width="15.140625" customWidth="1"/>
  </cols>
  <sheetData>
    <row r="1" spans="1:48" x14ac:dyDescent="0.25">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c r="W1" s="40" t="s">
        <v>22</v>
      </c>
      <c r="X1" s="40" t="s">
        <v>23</v>
      </c>
      <c r="Y1" s="40" t="s">
        <v>24</v>
      </c>
      <c r="Z1" s="40" t="s">
        <v>25</v>
      </c>
      <c r="AA1" s="40" t="s">
        <v>26</v>
      </c>
      <c r="AB1" s="40" t="s">
        <v>27</v>
      </c>
      <c r="AC1" s="40" t="s">
        <v>28</v>
      </c>
      <c r="AD1" s="40" t="s">
        <v>29</v>
      </c>
      <c r="AE1" s="40" t="s">
        <v>30</v>
      </c>
      <c r="AF1" s="40" t="s">
        <v>31</v>
      </c>
      <c r="AG1" s="40" t="s">
        <v>32</v>
      </c>
      <c r="AH1" s="40" t="s">
        <v>604</v>
      </c>
      <c r="AI1" s="40" t="s">
        <v>605</v>
      </c>
      <c r="AJ1" s="40" t="s">
        <v>606</v>
      </c>
      <c r="AK1" s="40" t="s">
        <v>647</v>
      </c>
      <c r="AL1" s="40" t="s">
        <v>648</v>
      </c>
      <c r="AM1" s="40" t="s">
        <v>649</v>
      </c>
      <c r="AN1" s="41" t="s">
        <v>935</v>
      </c>
      <c r="AO1" s="38" t="s">
        <v>586</v>
      </c>
      <c r="AP1" s="38" t="s">
        <v>587</v>
      </c>
      <c r="AQ1" s="39" t="s">
        <v>533</v>
      </c>
      <c r="AR1" s="39" t="s">
        <v>536</v>
      </c>
      <c r="AS1" s="38" t="s">
        <v>576</v>
      </c>
      <c r="AT1" s="41" t="s">
        <v>577</v>
      </c>
      <c r="AU1" s="42" t="s">
        <v>578</v>
      </c>
      <c r="AV1" s="42"/>
    </row>
    <row r="2" spans="1:48" x14ac:dyDescent="0.25">
      <c r="A2" t="s">
        <v>737</v>
      </c>
      <c r="B2" t="s">
        <v>53</v>
      </c>
      <c r="C2" t="s">
        <v>43</v>
      </c>
      <c r="D2" t="s">
        <v>35</v>
      </c>
      <c r="E2" s="36">
        <v>46246</v>
      </c>
      <c r="F2" t="s">
        <v>88</v>
      </c>
      <c r="G2" t="s">
        <v>37</v>
      </c>
      <c r="H2" t="s">
        <v>37</v>
      </c>
      <c r="I2" t="s">
        <v>697</v>
      </c>
      <c r="J2" t="s">
        <v>697</v>
      </c>
      <c r="K2" t="s">
        <v>738</v>
      </c>
      <c r="L2" t="s">
        <v>39</v>
      </c>
      <c r="M2" t="s">
        <v>418</v>
      </c>
      <c r="N2" t="s">
        <v>14</v>
      </c>
      <c r="O2" t="s">
        <v>418</v>
      </c>
      <c r="P2" t="s">
        <v>955</v>
      </c>
      <c r="Q2" s="36">
        <v>46265</v>
      </c>
      <c r="R2" t="s">
        <v>956</v>
      </c>
      <c r="S2" s="36">
        <v>46280</v>
      </c>
      <c r="T2" t="s">
        <v>1029</v>
      </c>
      <c r="U2" s="36">
        <v>46273</v>
      </c>
      <c r="V2" s="36">
        <v>46283</v>
      </c>
      <c r="X2" t="s">
        <v>72</v>
      </c>
      <c r="Y2" t="s">
        <v>94</v>
      </c>
      <c r="Z2" t="s">
        <v>625</v>
      </c>
      <c r="AA2" t="s">
        <v>697</v>
      </c>
      <c r="AB2" t="s">
        <v>42</v>
      </c>
      <c r="AC2" t="s">
        <v>53</v>
      </c>
      <c r="AD2" s="36">
        <v>46280</v>
      </c>
      <c r="AE2" t="s">
        <v>72</v>
      </c>
      <c r="AF2" s="36">
        <v>46280</v>
      </c>
      <c r="AG2" t="s">
        <v>72</v>
      </c>
      <c r="AH2" s="43">
        <v>100</v>
      </c>
      <c r="AI2" s="43">
        <v>100</v>
      </c>
      <c r="AJ2" s="44">
        <v>100</v>
      </c>
      <c r="AK2" t="s">
        <v>697</v>
      </c>
      <c r="AM2" t="s">
        <v>697</v>
      </c>
      <c r="AN2" s="39" t="str">
        <f>VLOOKUP(M2,[1]municipios!$B:$D,3,0)</f>
        <v>PONTA PORA</v>
      </c>
      <c r="AO2" s="37">
        <f ca="1">TODAY()-E2</f>
        <v>42</v>
      </c>
      <c r="AP2" s="38" t="str">
        <f ca="1">IF(AO2&lt;=5,"0–5 dias",IF(AO2&lt;=15,"6–15 dias",IF(AO2&lt;=16,"16–30 dias",IF(AO2&lt;=30,"30–50 dias","&gt;50 dias"))))</f>
        <v>&gt;50 dias</v>
      </c>
      <c r="AQ2" s="39" t="str">
        <f ca="1">IF(U2="","Dentro",(IF(IF(W2="",TODAY(),W2)&lt;=U2,"Dentro","Fora")))</f>
        <v>Fora</v>
      </c>
      <c r="AR2" s="39" t="str">
        <f ca="1">IF(U2="","Não risco",IF((TODAY()-U2)&lt;=7,"Risco","Não risco"))</f>
        <v>Não risco</v>
      </c>
      <c r="AS2" s="37" t="e">
        <f>IF(SEARCH("integrar",P2)&gt;0,"Sim","Não")</f>
        <v>#VALUE!</v>
      </c>
      <c r="AT2" s="39">
        <f ca="1">IF(S2="",TODAY()-Q2,S2-Q2)</f>
        <v>15</v>
      </c>
      <c r="AU2" s="47" t="str">
        <f>VLOOKUP(X2,'pontos focais'!C:D,2,0)</f>
        <v>DCMD Programação de Obra</v>
      </c>
      <c r="AV2" s="41">
        <f>U2-Q2</f>
        <v>8</v>
      </c>
    </row>
    <row r="3" spans="1:48" x14ac:dyDescent="0.25">
      <c r="A3" t="s">
        <v>739</v>
      </c>
      <c r="B3" t="s">
        <v>53</v>
      </c>
      <c r="C3" t="s">
        <v>43</v>
      </c>
      <c r="D3" t="s">
        <v>35</v>
      </c>
      <c r="E3" s="36">
        <v>46247</v>
      </c>
      <c r="F3" t="s">
        <v>88</v>
      </c>
      <c r="G3" t="s">
        <v>37</v>
      </c>
      <c r="H3" t="s">
        <v>37</v>
      </c>
      <c r="I3" t="s">
        <v>697</v>
      </c>
      <c r="J3" t="s">
        <v>697</v>
      </c>
      <c r="K3" t="s">
        <v>740</v>
      </c>
      <c r="L3" t="s">
        <v>39</v>
      </c>
      <c r="M3" t="s">
        <v>213</v>
      </c>
      <c r="N3" t="s">
        <v>14</v>
      </c>
      <c r="O3" t="s">
        <v>213</v>
      </c>
      <c r="P3" t="s">
        <v>626</v>
      </c>
      <c r="Q3" s="36">
        <v>46247</v>
      </c>
      <c r="R3" t="s">
        <v>627</v>
      </c>
      <c r="S3" s="36">
        <v>46269</v>
      </c>
      <c r="U3" s="36">
        <v>46259</v>
      </c>
      <c r="V3" s="36">
        <v>46283</v>
      </c>
      <c r="X3" t="s">
        <v>72</v>
      </c>
      <c r="Y3" t="s">
        <v>94</v>
      </c>
      <c r="Z3" t="s">
        <v>628</v>
      </c>
      <c r="AA3" t="s">
        <v>88</v>
      </c>
      <c r="AB3" t="s">
        <v>42</v>
      </c>
      <c r="AC3" t="s">
        <v>53</v>
      </c>
      <c r="AD3" s="36">
        <v>46269</v>
      </c>
      <c r="AE3" t="s">
        <v>72</v>
      </c>
      <c r="AF3" s="36">
        <v>46269</v>
      </c>
      <c r="AG3" t="s">
        <v>72</v>
      </c>
      <c r="AH3" s="43">
        <v>100</v>
      </c>
      <c r="AI3" s="43">
        <v>100</v>
      </c>
      <c r="AJ3" s="44">
        <v>100</v>
      </c>
      <c r="AK3" t="s">
        <v>697</v>
      </c>
      <c r="AM3" t="s">
        <v>697</v>
      </c>
      <c r="AN3" s="39" t="str">
        <f>VLOOKUP(M3,[1]municipios!$B:$D,3,0)</f>
        <v>RIO BRILHANTE</v>
      </c>
      <c r="AO3" s="37">
        <f t="shared" ref="AO3:AO66" ca="1" si="0">TODAY()-E3</f>
        <v>41</v>
      </c>
      <c r="AP3" s="38" t="str">
        <f t="shared" ref="AP3:AP66" ca="1" si="1">IF(AO3&lt;=5,"0–5 dias",IF(AO3&lt;=15,"6–15 dias",IF(AO3&lt;=16,"16–30 dias",IF(AO3&lt;=30,"30–50 dias","&gt;50 dias"))))</f>
        <v>&gt;50 dias</v>
      </c>
      <c r="AQ3" s="39" t="str">
        <f t="shared" ref="AQ3:AQ66" ca="1" si="2">IF(U3="","Dentro",(IF(IF(W3="",TODAY(),W3)&lt;=U3,"Dentro","Fora")))</f>
        <v>Fora</v>
      </c>
      <c r="AR3" s="39" t="str">
        <f t="shared" ref="AR3:AR66" ca="1" si="3">IF(U3="","Não risco",IF((TODAY()-U3)&lt;=7,"Risco","Não risco"))</f>
        <v>Não risco</v>
      </c>
      <c r="AS3" s="37" t="e">
        <f>IF(SEARCH("integrar",P3)&gt;0,"Sim","Não")</f>
        <v>#VALUE!</v>
      </c>
      <c r="AT3" s="39">
        <f t="shared" ref="AT3:AT66" ca="1" si="4">IF(S3="",TODAY()-Q3,S3-Q3)</f>
        <v>22</v>
      </c>
      <c r="AU3" s="47" t="str">
        <f>VLOOKUP(X3,'pontos focais'!C:D,2,0)</f>
        <v>DCMD Programação de Obra</v>
      </c>
      <c r="AV3" s="41">
        <f t="shared" ref="AV3:AV66" si="5">U3-Q3</f>
        <v>12</v>
      </c>
    </row>
    <row r="4" spans="1:48" x14ac:dyDescent="0.25">
      <c r="A4" t="s">
        <v>741</v>
      </c>
      <c r="B4" t="s">
        <v>53</v>
      </c>
      <c r="C4" t="s">
        <v>43</v>
      </c>
      <c r="D4" t="s">
        <v>35</v>
      </c>
      <c r="E4" s="36">
        <v>46237</v>
      </c>
      <c r="F4" t="s">
        <v>88</v>
      </c>
      <c r="G4" t="s">
        <v>37</v>
      </c>
      <c r="H4" t="s">
        <v>37</v>
      </c>
      <c r="I4" t="s">
        <v>697</v>
      </c>
      <c r="J4" t="s">
        <v>697</v>
      </c>
      <c r="K4" t="s">
        <v>742</v>
      </c>
      <c r="L4" t="s">
        <v>39</v>
      </c>
      <c r="M4" t="s">
        <v>397</v>
      </c>
      <c r="N4" t="s">
        <v>14</v>
      </c>
      <c r="O4" t="s">
        <v>397</v>
      </c>
      <c r="P4" t="s">
        <v>629</v>
      </c>
      <c r="Q4" s="36">
        <v>46262</v>
      </c>
      <c r="R4" t="s">
        <v>743</v>
      </c>
      <c r="S4" s="36">
        <v>46269</v>
      </c>
      <c r="T4" t="s">
        <v>957</v>
      </c>
      <c r="U4" s="36">
        <v>46295</v>
      </c>
      <c r="V4" s="36">
        <v>46283</v>
      </c>
      <c r="X4" t="s">
        <v>72</v>
      </c>
      <c r="Y4" t="s">
        <v>94</v>
      </c>
      <c r="Z4" t="s">
        <v>630</v>
      </c>
      <c r="AA4" t="s">
        <v>697</v>
      </c>
      <c r="AB4" t="s">
        <v>42</v>
      </c>
      <c r="AC4" t="s">
        <v>53</v>
      </c>
      <c r="AD4" s="36">
        <v>46269</v>
      </c>
      <c r="AE4" t="s">
        <v>72</v>
      </c>
      <c r="AF4" s="36">
        <v>46269</v>
      </c>
      <c r="AG4" t="s">
        <v>72</v>
      </c>
      <c r="AH4" s="43">
        <v>100</v>
      </c>
      <c r="AI4" s="43">
        <v>100</v>
      </c>
      <c r="AJ4" s="44">
        <v>100</v>
      </c>
      <c r="AK4" t="s">
        <v>697</v>
      </c>
      <c r="AM4" t="s">
        <v>697</v>
      </c>
      <c r="AN4" s="39" t="str">
        <f>VLOOKUP(M4,[1]municipios!$B:$D,3,0)</f>
        <v>PONTA PORA</v>
      </c>
      <c r="AO4" s="37">
        <f t="shared" ca="1" si="0"/>
        <v>51</v>
      </c>
      <c r="AP4" s="38" t="str">
        <f t="shared" ca="1" si="1"/>
        <v>&gt;50 dias</v>
      </c>
      <c r="AQ4" s="39" t="str">
        <f t="shared" ca="1" si="2"/>
        <v>Dentro</v>
      </c>
      <c r="AR4" s="39" t="str">
        <f t="shared" ca="1" si="3"/>
        <v>Risco</v>
      </c>
      <c r="AS4" s="37" t="e">
        <f t="shared" ref="AS4:AS66" si="6">IF(SEARCH("integrar",P4)&gt;0,"Sim","Não")</f>
        <v>#VALUE!</v>
      </c>
      <c r="AT4" s="39">
        <f t="shared" ca="1" si="4"/>
        <v>7</v>
      </c>
      <c r="AU4" s="47" t="str">
        <f>VLOOKUP(X4,'pontos focais'!C:D,2,0)</f>
        <v>DCMD Programação de Obra</v>
      </c>
      <c r="AV4" s="41">
        <f t="shared" si="5"/>
        <v>33</v>
      </c>
    </row>
    <row r="5" spans="1:48" x14ac:dyDescent="0.25">
      <c r="A5" t="s">
        <v>699</v>
      </c>
      <c r="B5" t="s">
        <v>53</v>
      </c>
      <c r="C5" t="s">
        <v>54</v>
      </c>
      <c r="D5" t="s">
        <v>55</v>
      </c>
      <c r="E5" s="36">
        <v>46247</v>
      </c>
      <c r="F5" t="s">
        <v>49</v>
      </c>
      <c r="G5" t="s">
        <v>37</v>
      </c>
      <c r="H5" t="s">
        <v>37</v>
      </c>
      <c r="I5" t="s">
        <v>697</v>
      </c>
      <c r="J5" t="s">
        <v>697</v>
      </c>
      <c r="K5" t="s">
        <v>700</v>
      </c>
      <c r="L5" t="s">
        <v>64</v>
      </c>
      <c r="M5" t="s">
        <v>166</v>
      </c>
      <c r="N5" t="s">
        <v>102</v>
      </c>
      <c r="O5" t="s">
        <v>166</v>
      </c>
      <c r="P5" t="s">
        <v>616</v>
      </c>
      <c r="Q5" s="36">
        <v>46275</v>
      </c>
      <c r="R5" t="s">
        <v>1030</v>
      </c>
      <c r="S5" s="36">
        <v>46275</v>
      </c>
      <c r="T5" t="s">
        <v>1031</v>
      </c>
      <c r="U5" s="36">
        <v>46276</v>
      </c>
      <c r="V5" s="36">
        <v>46276</v>
      </c>
      <c r="X5" t="s">
        <v>49</v>
      </c>
      <c r="Y5" t="s">
        <v>73</v>
      </c>
      <c r="AA5" t="s">
        <v>447</v>
      </c>
      <c r="AB5" t="s">
        <v>42</v>
      </c>
      <c r="AC5" t="s">
        <v>53</v>
      </c>
      <c r="AD5" s="36">
        <v>46275</v>
      </c>
      <c r="AE5" t="s">
        <v>49</v>
      </c>
      <c r="AF5" s="36">
        <v>46275</v>
      </c>
      <c r="AG5" t="s">
        <v>49</v>
      </c>
      <c r="AH5" s="43">
        <v>100</v>
      </c>
      <c r="AI5" s="43">
        <v>100</v>
      </c>
      <c r="AJ5" s="44">
        <v>100</v>
      </c>
      <c r="AK5" t="s">
        <v>697</v>
      </c>
      <c r="AM5" t="s">
        <v>697</v>
      </c>
      <c r="AN5" s="39" t="str">
        <f>VLOOKUP(M5,[1]municipios!$B:$D,3,0)</f>
        <v>COSTA RICA</v>
      </c>
      <c r="AO5" s="37">
        <f t="shared" ca="1" si="0"/>
        <v>41</v>
      </c>
      <c r="AP5" s="38" t="str">
        <f t="shared" ca="1" si="1"/>
        <v>&gt;50 dias</v>
      </c>
      <c r="AQ5" s="39" t="str">
        <f t="shared" ca="1" si="2"/>
        <v>Fora</v>
      </c>
      <c r="AR5" s="39" t="str">
        <f t="shared" ca="1" si="3"/>
        <v>Não risco</v>
      </c>
      <c r="AS5" s="37" t="e">
        <f t="shared" si="6"/>
        <v>#VALUE!</v>
      </c>
      <c r="AT5" s="39">
        <f t="shared" ca="1" si="4"/>
        <v>0</v>
      </c>
      <c r="AU5" s="47" t="str">
        <f>VLOOKUP(X5,'pontos focais'!C:D,2,0)</f>
        <v>DESC Agentes de Relacionamento</v>
      </c>
      <c r="AV5" s="41">
        <f t="shared" si="5"/>
        <v>1</v>
      </c>
    </row>
    <row r="6" spans="1:48" x14ac:dyDescent="0.25">
      <c r="A6" t="s">
        <v>699</v>
      </c>
      <c r="B6" t="s">
        <v>53</v>
      </c>
      <c r="C6" t="s">
        <v>43</v>
      </c>
      <c r="D6" t="s">
        <v>35</v>
      </c>
      <c r="E6" s="36">
        <v>46247</v>
      </c>
      <c r="F6" t="s">
        <v>49</v>
      </c>
      <c r="G6" t="s">
        <v>37</v>
      </c>
      <c r="H6" t="s">
        <v>111</v>
      </c>
      <c r="I6" t="s">
        <v>697</v>
      </c>
      <c r="J6" t="s">
        <v>697</v>
      </c>
      <c r="K6" t="s">
        <v>700</v>
      </c>
      <c r="L6" t="s">
        <v>64</v>
      </c>
      <c r="M6" t="s">
        <v>166</v>
      </c>
      <c r="N6" t="s">
        <v>102</v>
      </c>
      <c r="O6" t="s">
        <v>166</v>
      </c>
      <c r="P6" t="s">
        <v>616</v>
      </c>
      <c r="Q6" s="36">
        <v>46248</v>
      </c>
      <c r="R6" t="s">
        <v>617</v>
      </c>
      <c r="S6" s="36">
        <v>46280</v>
      </c>
      <c r="U6" s="36">
        <v>46276</v>
      </c>
      <c r="V6" s="36">
        <v>46274</v>
      </c>
      <c r="X6" t="s">
        <v>72</v>
      </c>
      <c r="Y6" t="s">
        <v>94</v>
      </c>
      <c r="AA6" t="s">
        <v>447</v>
      </c>
      <c r="AB6" t="s">
        <v>42</v>
      </c>
      <c r="AC6" t="s">
        <v>53</v>
      </c>
      <c r="AD6" s="36">
        <v>46280</v>
      </c>
      <c r="AE6" t="s">
        <v>72</v>
      </c>
      <c r="AF6" s="36">
        <v>46280</v>
      </c>
      <c r="AG6" t="s">
        <v>72</v>
      </c>
      <c r="AH6" s="43">
        <v>100</v>
      </c>
      <c r="AI6" s="43">
        <v>100</v>
      </c>
      <c r="AJ6" s="44">
        <v>100</v>
      </c>
      <c r="AK6" t="s">
        <v>697</v>
      </c>
      <c r="AM6" t="s">
        <v>697</v>
      </c>
      <c r="AN6" s="39" t="str">
        <f>VLOOKUP(M6,[1]municipios!$B:$D,3,0)</f>
        <v>COSTA RICA</v>
      </c>
      <c r="AO6" s="37">
        <f t="shared" ca="1" si="0"/>
        <v>41</v>
      </c>
      <c r="AP6" s="38" t="str">
        <f t="shared" ca="1" si="1"/>
        <v>&gt;50 dias</v>
      </c>
      <c r="AQ6" s="39" t="str">
        <f t="shared" ca="1" si="2"/>
        <v>Fora</v>
      </c>
      <c r="AR6" s="39" t="str">
        <f t="shared" ca="1" si="3"/>
        <v>Não risco</v>
      </c>
      <c r="AS6" s="37" t="e">
        <f t="shared" si="6"/>
        <v>#VALUE!</v>
      </c>
      <c r="AT6" s="39">
        <f t="shared" ca="1" si="4"/>
        <v>32</v>
      </c>
      <c r="AU6" s="47" t="str">
        <f>VLOOKUP(X6,'pontos focais'!C:D,2,0)</f>
        <v>DCMD Programação de Obra</v>
      </c>
      <c r="AV6" s="41">
        <f t="shared" si="5"/>
        <v>28</v>
      </c>
    </row>
    <row r="7" spans="1:48" x14ac:dyDescent="0.25">
      <c r="A7" t="s">
        <v>744</v>
      </c>
      <c r="B7" t="s">
        <v>53</v>
      </c>
      <c r="C7" t="s">
        <v>34</v>
      </c>
      <c r="D7" t="s">
        <v>78</v>
      </c>
      <c r="E7" s="36">
        <v>46083</v>
      </c>
      <c r="F7" t="s">
        <v>36</v>
      </c>
      <c r="G7" t="s">
        <v>37</v>
      </c>
      <c r="H7" t="s">
        <v>156</v>
      </c>
      <c r="I7" t="s">
        <v>697</v>
      </c>
      <c r="J7" t="s">
        <v>745</v>
      </c>
      <c r="K7" t="s">
        <v>697</v>
      </c>
      <c r="L7" t="s">
        <v>57</v>
      </c>
      <c r="M7" t="s">
        <v>163</v>
      </c>
      <c r="N7" t="s">
        <v>102</v>
      </c>
      <c r="O7" t="s">
        <v>163</v>
      </c>
      <c r="P7" t="s">
        <v>631</v>
      </c>
      <c r="Q7" s="36">
        <v>46226</v>
      </c>
      <c r="R7" t="s">
        <v>632</v>
      </c>
      <c r="S7" s="36">
        <v>46269</v>
      </c>
      <c r="X7" t="s">
        <v>108</v>
      </c>
      <c r="Y7" t="s">
        <v>316</v>
      </c>
      <c r="Z7" t="s">
        <v>633</v>
      </c>
      <c r="AA7" t="s">
        <v>36</v>
      </c>
      <c r="AB7" t="s">
        <v>42</v>
      </c>
      <c r="AC7" t="s">
        <v>53</v>
      </c>
      <c r="AD7" s="36">
        <v>46269</v>
      </c>
      <c r="AE7" t="s">
        <v>155</v>
      </c>
      <c r="AF7" s="36">
        <v>46269</v>
      </c>
      <c r="AG7" t="s">
        <v>155</v>
      </c>
      <c r="AH7" s="43">
        <v>100</v>
      </c>
      <c r="AI7" s="43">
        <v>100</v>
      </c>
      <c r="AJ7" s="44">
        <v>100</v>
      </c>
      <c r="AK7" t="s">
        <v>697</v>
      </c>
      <c r="AM7" t="s">
        <v>697</v>
      </c>
      <c r="AN7" s="39" t="str">
        <f>VLOOKUP(M7,[1]municipios!$B:$D,3,0)</f>
        <v>CORUMBA</v>
      </c>
      <c r="AO7" s="37">
        <f t="shared" ca="1" si="0"/>
        <v>205</v>
      </c>
      <c r="AP7" s="38" t="str">
        <f t="shared" ca="1" si="1"/>
        <v>&gt;50 dias</v>
      </c>
      <c r="AQ7" s="39" t="str">
        <f t="shared" ca="1" si="2"/>
        <v>Dentro</v>
      </c>
      <c r="AR7" s="39" t="str">
        <f t="shared" ca="1" si="3"/>
        <v>Não risco</v>
      </c>
      <c r="AS7" s="37" t="e">
        <f t="shared" si="6"/>
        <v>#VALUE!</v>
      </c>
      <c r="AT7" s="39">
        <f t="shared" ca="1" si="4"/>
        <v>43</v>
      </c>
      <c r="AU7" s="47" t="str">
        <f>VLOOKUP(X7,'pontos focais'!C:D,2,0)</f>
        <v>DEOP Qualidade</v>
      </c>
      <c r="AV7" s="41">
        <f t="shared" si="5"/>
        <v>-46226</v>
      </c>
    </row>
    <row r="8" spans="1:48" x14ac:dyDescent="0.25">
      <c r="A8" t="s">
        <v>746</v>
      </c>
      <c r="B8" t="s">
        <v>53</v>
      </c>
      <c r="C8" t="s">
        <v>43</v>
      </c>
      <c r="D8" t="s">
        <v>35</v>
      </c>
      <c r="E8" s="36">
        <v>46265</v>
      </c>
      <c r="F8" t="s">
        <v>88</v>
      </c>
      <c r="G8" t="s">
        <v>37</v>
      </c>
      <c r="H8" t="s">
        <v>37</v>
      </c>
      <c r="I8" t="s">
        <v>697</v>
      </c>
      <c r="J8" t="s">
        <v>697</v>
      </c>
      <c r="K8" t="s">
        <v>747</v>
      </c>
      <c r="L8" t="s">
        <v>39</v>
      </c>
      <c r="M8" t="s">
        <v>273</v>
      </c>
      <c r="N8" t="s">
        <v>14</v>
      </c>
      <c r="O8" t="s">
        <v>273</v>
      </c>
      <c r="P8" t="s">
        <v>634</v>
      </c>
      <c r="Q8" s="36">
        <v>46252</v>
      </c>
      <c r="S8" s="36">
        <v>46280</v>
      </c>
      <c r="T8" t="s">
        <v>1032</v>
      </c>
      <c r="U8" s="36">
        <v>46265</v>
      </c>
      <c r="V8" s="36">
        <v>46289</v>
      </c>
      <c r="X8" t="s">
        <v>72</v>
      </c>
      <c r="Y8" t="s">
        <v>94</v>
      </c>
      <c r="Z8" t="s">
        <v>635</v>
      </c>
      <c r="AA8" t="s">
        <v>697</v>
      </c>
      <c r="AB8" t="s">
        <v>42</v>
      </c>
      <c r="AC8" t="s">
        <v>53</v>
      </c>
      <c r="AD8" s="36">
        <v>46280</v>
      </c>
      <c r="AE8" t="s">
        <v>72</v>
      </c>
      <c r="AF8" s="36">
        <v>46280</v>
      </c>
      <c r="AG8" t="s">
        <v>72</v>
      </c>
      <c r="AH8" s="43">
        <v>100</v>
      </c>
      <c r="AI8" s="43">
        <v>100</v>
      </c>
      <c r="AJ8" s="44">
        <v>100</v>
      </c>
      <c r="AK8" t="s">
        <v>697</v>
      </c>
      <c r="AM8" t="s">
        <v>697</v>
      </c>
      <c r="AN8" s="39" t="str">
        <f>VLOOKUP(M8,[1]municipios!$B:$D,3,0)</f>
        <v>PONTA PORA</v>
      </c>
      <c r="AO8" s="37">
        <f t="shared" ca="1" si="0"/>
        <v>23</v>
      </c>
      <c r="AP8" s="38" t="str">
        <f t="shared" ca="1" si="1"/>
        <v>30–50 dias</v>
      </c>
      <c r="AQ8" s="39" t="str">
        <f t="shared" ca="1" si="2"/>
        <v>Fora</v>
      </c>
      <c r="AR8" s="39" t="str">
        <f t="shared" ca="1" si="3"/>
        <v>Não risco</v>
      </c>
      <c r="AS8" s="37" t="e">
        <f t="shared" si="6"/>
        <v>#VALUE!</v>
      </c>
      <c r="AT8" s="39">
        <f t="shared" ca="1" si="4"/>
        <v>28</v>
      </c>
      <c r="AU8" s="47" t="str">
        <f>VLOOKUP(X8,'pontos focais'!C:D,2,0)</f>
        <v>DCMD Programação de Obra</v>
      </c>
      <c r="AV8" s="41">
        <f t="shared" si="5"/>
        <v>13</v>
      </c>
    </row>
    <row r="9" spans="1:48" x14ac:dyDescent="0.25">
      <c r="A9" t="s">
        <v>748</v>
      </c>
      <c r="B9" t="s">
        <v>53</v>
      </c>
      <c r="C9" t="s">
        <v>43</v>
      </c>
      <c r="D9" t="s">
        <v>35</v>
      </c>
      <c r="E9" s="36">
        <v>46211</v>
      </c>
      <c r="F9" t="s">
        <v>88</v>
      </c>
      <c r="G9" t="s">
        <v>111</v>
      </c>
      <c r="H9" t="s">
        <v>111</v>
      </c>
      <c r="I9" t="s">
        <v>697</v>
      </c>
      <c r="J9" t="s">
        <v>697</v>
      </c>
      <c r="K9" t="s">
        <v>714</v>
      </c>
      <c r="L9" t="s">
        <v>39</v>
      </c>
      <c r="M9" t="s">
        <v>89</v>
      </c>
      <c r="N9" t="s">
        <v>14</v>
      </c>
      <c r="O9" t="s">
        <v>89</v>
      </c>
      <c r="P9" t="s">
        <v>551</v>
      </c>
      <c r="Q9" s="36">
        <v>46252</v>
      </c>
      <c r="R9" t="s">
        <v>551</v>
      </c>
      <c r="S9" s="36">
        <v>46267</v>
      </c>
      <c r="T9" t="s">
        <v>968</v>
      </c>
      <c r="U9" s="36">
        <v>46337</v>
      </c>
      <c r="W9" s="36">
        <v>46255</v>
      </c>
      <c r="X9" t="s">
        <v>72</v>
      </c>
      <c r="Y9" t="s">
        <v>94</v>
      </c>
      <c r="Z9" t="s">
        <v>217</v>
      </c>
      <c r="AA9" t="s">
        <v>123</v>
      </c>
      <c r="AB9" t="s">
        <v>42</v>
      </c>
      <c r="AC9" t="s">
        <v>53</v>
      </c>
      <c r="AD9" s="36">
        <v>46267</v>
      </c>
      <c r="AE9" t="s">
        <v>72</v>
      </c>
      <c r="AF9" s="36">
        <v>46267</v>
      </c>
      <c r="AG9" t="s">
        <v>72</v>
      </c>
      <c r="AH9" s="43">
        <v>100</v>
      </c>
      <c r="AI9" s="43">
        <v>100</v>
      </c>
      <c r="AJ9" s="44">
        <v>100</v>
      </c>
      <c r="AK9" t="s">
        <v>697</v>
      </c>
      <c r="AM9" t="s">
        <v>697</v>
      </c>
      <c r="AN9" s="39" t="str">
        <f>VLOOKUP(M9,[1]municipios!$B:$D,3,0)</f>
        <v>NAVIRAI</v>
      </c>
      <c r="AO9" s="37">
        <f t="shared" ca="1" si="0"/>
        <v>77</v>
      </c>
      <c r="AP9" s="38" t="str">
        <f t="shared" ca="1" si="1"/>
        <v>&gt;50 dias</v>
      </c>
      <c r="AQ9" s="39" t="str">
        <f t="shared" ca="1" si="2"/>
        <v>Dentro</v>
      </c>
      <c r="AR9" s="39" t="str">
        <f t="shared" ca="1" si="3"/>
        <v>Risco</v>
      </c>
      <c r="AS9" s="37" t="e">
        <f t="shared" si="6"/>
        <v>#VALUE!</v>
      </c>
      <c r="AT9" s="39">
        <f t="shared" ca="1" si="4"/>
        <v>15</v>
      </c>
      <c r="AU9" s="47" t="str">
        <f>VLOOKUP(X9,'pontos focais'!C:D,2,0)</f>
        <v>DCMD Programação de Obra</v>
      </c>
      <c r="AV9" s="41">
        <f t="shared" si="5"/>
        <v>85</v>
      </c>
    </row>
    <row r="10" spans="1:48" x14ac:dyDescent="0.25">
      <c r="A10" t="s">
        <v>749</v>
      </c>
      <c r="B10" t="s">
        <v>53</v>
      </c>
      <c r="C10" t="s">
        <v>96</v>
      </c>
      <c r="D10" t="s">
        <v>35</v>
      </c>
      <c r="E10" s="36">
        <v>46252</v>
      </c>
      <c r="F10" t="s">
        <v>67</v>
      </c>
      <c r="G10" t="s">
        <v>37</v>
      </c>
      <c r="H10" t="s">
        <v>156</v>
      </c>
      <c r="I10" t="s">
        <v>697</v>
      </c>
      <c r="J10" t="s">
        <v>697</v>
      </c>
      <c r="K10" t="s">
        <v>697</v>
      </c>
      <c r="L10" t="s">
        <v>64</v>
      </c>
      <c r="M10" t="s">
        <v>65</v>
      </c>
      <c r="N10" t="s">
        <v>68</v>
      </c>
      <c r="O10" t="s">
        <v>65</v>
      </c>
      <c r="P10" t="s">
        <v>655</v>
      </c>
      <c r="Q10" s="36">
        <v>46253</v>
      </c>
      <c r="R10" t="s">
        <v>656</v>
      </c>
      <c r="X10" t="s">
        <v>77</v>
      </c>
      <c r="Y10" t="s">
        <v>697</v>
      </c>
      <c r="Z10" t="s">
        <v>657</v>
      </c>
      <c r="AA10" t="s">
        <v>67</v>
      </c>
      <c r="AB10" t="s">
        <v>42</v>
      </c>
      <c r="AC10" t="s">
        <v>53</v>
      </c>
      <c r="AD10" s="36">
        <v>46253</v>
      </c>
      <c r="AE10" t="s">
        <v>71</v>
      </c>
      <c r="AF10" s="36">
        <v>46253</v>
      </c>
      <c r="AG10" t="s">
        <v>71</v>
      </c>
      <c r="AH10" s="43">
        <v>25</v>
      </c>
      <c r="AI10" s="43">
        <v>25</v>
      </c>
      <c r="AJ10" s="44">
        <v>12.5</v>
      </c>
      <c r="AK10" t="s">
        <v>658</v>
      </c>
      <c r="AM10" t="s">
        <v>659</v>
      </c>
      <c r="AN10" s="39" t="str">
        <f>VLOOKUP(M10,[1]municipios!$B:$D,3,0)</f>
        <v>CAMPO GRANDE</v>
      </c>
      <c r="AO10" s="37">
        <f t="shared" ca="1" si="0"/>
        <v>36</v>
      </c>
      <c r="AP10" s="38" t="str">
        <f t="shared" ca="1" si="1"/>
        <v>&gt;50 dias</v>
      </c>
      <c r="AQ10" s="39" t="str">
        <f t="shared" ca="1" si="2"/>
        <v>Dentro</v>
      </c>
      <c r="AR10" s="39" t="str">
        <f t="shared" ca="1" si="3"/>
        <v>Não risco</v>
      </c>
      <c r="AS10" s="37" t="e">
        <f t="shared" si="6"/>
        <v>#VALUE!</v>
      </c>
      <c r="AT10" s="39">
        <f t="shared" ca="1" si="4"/>
        <v>35</v>
      </c>
      <c r="AU10" s="47" t="str">
        <f>VLOOKUP(X10,'pontos focais'!C:D,2,0)</f>
        <v>DCMD Manutenção</v>
      </c>
      <c r="AV10" s="41">
        <f t="shared" si="5"/>
        <v>-46253</v>
      </c>
    </row>
    <row r="11" spans="1:48" x14ac:dyDescent="0.25">
      <c r="A11" t="s">
        <v>750</v>
      </c>
      <c r="B11" t="s">
        <v>53</v>
      </c>
      <c r="C11" t="s">
        <v>43</v>
      </c>
      <c r="D11" t="s">
        <v>35</v>
      </c>
      <c r="E11" s="36">
        <v>46253</v>
      </c>
      <c r="F11" t="s">
        <v>44</v>
      </c>
      <c r="G11" t="s">
        <v>111</v>
      </c>
      <c r="H11" t="s">
        <v>111</v>
      </c>
      <c r="I11" t="s">
        <v>697</v>
      </c>
      <c r="J11" t="s">
        <v>697</v>
      </c>
      <c r="K11" t="s">
        <v>969</v>
      </c>
      <c r="L11" t="s">
        <v>39</v>
      </c>
      <c r="M11" t="s">
        <v>120</v>
      </c>
      <c r="N11" t="s">
        <v>80</v>
      </c>
      <c r="O11" t="s">
        <v>120</v>
      </c>
      <c r="P11" t="s">
        <v>660</v>
      </c>
      <c r="Q11" s="36">
        <v>46255</v>
      </c>
      <c r="R11" t="s">
        <v>661</v>
      </c>
      <c r="S11" s="36">
        <v>46273</v>
      </c>
      <c r="T11" t="s">
        <v>1033</v>
      </c>
      <c r="U11" s="36">
        <v>46265</v>
      </c>
      <c r="W11" s="36">
        <v>46199</v>
      </c>
      <c r="X11" t="s">
        <v>66</v>
      </c>
      <c r="Y11" t="s">
        <v>959</v>
      </c>
      <c r="Z11" t="s">
        <v>662</v>
      </c>
      <c r="AA11" t="s">
        <v>44</v>
      </c>
      <c r="AB11" t="s">
        <v>42</v>
      </c>
      <c r="AC11" t="s">
        <v>53</v>
      </c>
      <c r="AD11" s="36">
        <v>46273</v>
      </c>
      <c r="AE11" t="s">
        <v>66</v>
      </c>
      <c r="AF11" s="36">
        <v>46273</v>
      </c>
      <c r="AG11" t="s">
        <v>66</v>
      </c>
      <c r="AH11" s="43">
        <v>100</v>
      </c>
      <c r="AI11" s="43">
        <v>100</v>
      </c>
      <c r="AJ11" s="44">
        <v>100</v>
      </c>
      <c r="AK11" t="s">
        <v>697</v>
      </c>
      <c r="AM11" t="s">
        <v>697</v>
      </c>
      <c r="AN11" s="39" t="str">
        <f>VLOOKUP(M11,[1]municipios!$B:$D,3,0)</f>
        <v>NOVA ANDRADINA</v>
      </c>
      <c r="AO11" s="37">
        <f t="shared" ca="1" si="0"/>
        <v>35</v>
      </c>
      <c r="AP11" s="38" t="str">
        <f t="shared" ca="1" si="1"/>
        <v>&gt;50 dias</v>
      </c>
      <c r="AQ11" s="39" t="str">
        <f t="shared" ca="1" si="2"/>
        <v>Dentro</v>
      </c>
      <c r="AR11" s="39" t="str">
        <f t="shared" ca="1" si="3"/>
        <v>Não risco</v>
      </c>
      <c r="AS11" s="37" t="e">
        <f t="shared" si="6"/>
        <v>#VALUE!</v>
      </c>
      <c r="AT11" s="39">
        <f t="shared" ca="1" si="4"/>
        <v>18</v>
      </c>
      <c r="AU11" s="47" t="str">
        <f>VLOOKUP(X11,'pontos focais'!C:D,2,0)</f>
        <v>DCMD Orçamento e Projetos</v>
      </c>
      <c r="AV11" s="41">
        <f t="shared" si="5"/>
        <v>10</v>
      </c>
    </row>
    <row r="12" spans="1:48" x14ac:dyDescent="0.25">
      <c r="A12" t="s">
        <v>752</v>
      </c>
      <c r="B12" t="s">
        <v>53</v>
      </c>
      <c r="C12" t="s">
        <v>43</v>
      </c>
      <c r="D12" t="s">
        <v>35</v>
      </c>
      <c r="E12" s="36">
        <v>46254</v>
      </c>
      <c r="F12" t="s">
        <v>44</v>
      </c>
      <c r="G12" t="s">
        <v>37</v>
      </c>
      <c r="H12" t="s">
        <v>37</v>
      </c>
      <c r="I12" t="s">
        <v>697</v>
      </c>
      <c r="J12" t="s">
        <v>697</v>
      </c>
      <c r="K12" t="s">
        <v>665</v>
      </c>
      <c r="L12" t="s">
        <v>39</v>
      </c>
      <c r="M12" t="s">
        <v>215</v>
      </c>
      <c r="N12" t="s">
        <v>116</v>
      </c>
      <c r="O12" t="s">
        <v>215</v>
      </c>
      <c r="P12" t="s">
        <v>666</v>
      </c>
      <c r="Q12" s="36">
        <v>46253</v>
      </c>
      <c r="R12" t="s">
        <v>667</v>
      </c>
      <c r="S12" s="36">
        <v>46280</v>
      </c>
      <c r="U12" s="36">
        <v>46284</v>
      </c>
      <c r="V12" s="36">
        <v>46283</v>
      </c>
      <c r="X12" t="s">
        <v>72</v>
      </c>
      <c r="Y12" t="s">
        <v>94</v>
      </c>
      <c r="Z12" t="s">
        <v>668</v>
      </c>
      <c r="AA12" t="s">
        <v>44</v>
      </c>
      <c r="AB12" t="s">
        <v>42</v>
      </c>
      <c r="AC12" t="s">
        <v>53</v>
      </c>
      <c r="AD12" s="36">
        <v>46280</v>
      </c>
      <c r="AE12" t="s">
        <v>72</v>
      </c>
      <c r="AF12" s="36">
        <v>46280</v>
      </c>
      <c r="AG12" t="s">
        <v>72</v>
      </c>
      <c r="AH12" s="43">
        <v>100</v>
      </c>
      <c r="AI12" s="43">
        <v>100</v>
      </c>
      <c r="AJ12" s="44">
        <v>100</v>
      </c>
      <c r="AK12" t="s">
        <v>697</v>
      </c>
      <c r="AM12" t="s">
        <v>697</v>
      </c>
      <c r="AN12" s="39" t="str">
        <f>VLOOKUP(M12,[1]municipios!$B:$D,3,0)</f>
        <v>NAVIRAI</v>
      </c>
      <c r="AO12" s="37">
        <f t="shared" ca="1" si="0"/>
        <v>34</v>
      </c>
      <c r="AP12" s="38" t="str">
        <f t="shared" ca="1" si="1"/>
        <v>&gt;50 dias</v>
      </c>
      <c r="AQ12" s="39" t="str">
        <f t="shared" ca="1" si="2"/>
        <v>Fora</v>
      </c>
      <c r="AR12" s="39" t="str">
        <f t="shared" ca="1" si="3"/>
        <v>Risco</v>
      </c>
      <c r="AS12" s="37" t="e">
        <f t="shared" si="6"/>
        <v>#VALUE!</v>
      </c>
      <c r="AT12" s="39">
        <f t="shared" ca="1" si="4"/>
        <v>27</v>
      </c>
      <c r="AU12" s="47" t="str">
        <f>VLOOKUP(X12,'pontos focais'!C:D,2,0)</f>
        <v>DCMD Programação de Obra</v>
      </c>
      <c r="AV12" s="41">
        <f t="shared" si="5"/>
        <v>31</v>
      </c>
    </row>
    <row r="13" spans="1:48" x14ac:dyDescent="0.25">
      <c r="A13" t="s">
        <v>753</v>
      </c>
      <c r="B13" t="s">
        <v>53</v>
      </c>
      <c r="C13" t="s">
        <v>43</v>
      </c>
      <c r="D13" t="s">
        <v>35</v>
      </c>
      <c r="E13" s="36">
        <v>46255</v>
      </c>
      <c r="F13" t="s">
        <v>44</v>
      </c>
      <c r="G13" t="s">
        <v>37</v>
      </c>
      <c r="H13" t="s">
        <v>37</v>
      </c>
      <c r="I13" t="s">
        <v>697</v>
      </c>
      <c r="J13" t="s">
        <v>697</v>
      </c>
      <c r="K13" t="s">
        <v>755</v>
      </c>
      <c r="L13" t="s">
        <v>57</v>
      </c>
      <c r="M13" t="s">
        <v>183</v>
      </c>
      <c r="N13" t="s">
        <v>102</v>
      </c>
      <c r="O13" t="s">
        <v>183</v>
      </c>
      <c r="P13" t="s">
        <v>756</v>
      </c>
      <c r="Q13" s="36">
        <v>46258</v>
      </c>
      <c r="R13" t="s">
        <v>757</v>
      </c>
      <c r="S13" s="36">
        <v>46269</v>
      </c>
      <c r="T13" t="s">
        <v>958</v>
      </c>
      <c r="U13" s="36">
        <v>46285</v>
      </c>
      <c r="V13" s="36">
        <v>46285</v>
      </c>
      <c r="X13" t="s">
        <v>72</v>
      </c>
      <c r="Y13" t="s">
        <v>94</v>
      </c>
      <c r="Z13" t="s">
        <v>758</v>
      </c>
      <c r="AA13" t="s">
        <v>44</v>
      </c>
      <c r="AB13" t="s">
        <v>42</v>
      </c>
      <c r="AC13" t="s">
        <v>53</v>
      </c>
      <c r="AD13" s="36">
        <v>46269</v>
      </c>
      <c r="AE13" t="s">
        <v>72</v>
      </c>
      <c r="AF13" s="36">
        <v>46269</v>
      </c>
      <c r="AG13" t="s">
        <v>72</v>
      </c>
      <c r="AH13" s="43">
        <v>100</v>
      </c>
      <c r="AI13" s="43">
        <v>100</v>
      </c>
      <c r="AJ13" s="44">
        <v>100</v>
      </c>
      <c r="AK13" t="s">
        <v>697</v>
      </c>
      <c r="AM13" t="s">
        <v>697</v>
      </c>
      <c r="AN13" s="39" t="str">
        <f>VLOOKUP(M13,[1]municipios!$B:$D,3,0)</f>
        <v>AQUIDAUANA</v>
      </c>
      <c r="AO13" s="37">
        <f t="shared" ca="1" si="0"/>
        <v>33</v>
      </c>
      <c r="AP13" s="38" t="str">
        <f t="shared" ca="1" si="1"/>
        <v>&gt;50 dias</v>
      </c>
      <c r="AQ13" s="39" t="str">
        <f t="shared" ca="1" si="2"/>
        <v>Fora</v>
      </c>
      <c r="AR13" s="39" t="str">
        <f t="shared" ca="1" si="3"/>
        <v>Risco</v>
      </c>
      <c r="AS13" s="37" t="e">
        <f t="shared" si="6"/>
        <v>#VALUE!</v>
      </c>
      <c r="AT13" s="39">
        <f t="shared" ca="1" si="4"/>
        <v>11</v>
      </c>
      <c r="AU13" s="47" t="str">
        <f>VLOOKUP(X13,'pontos focais'!C:D,2,0)</f>
        <v>DCMD Programação de Obra</v>
      </c>
      <c r="AV13" s="41">
        <f t="shared" si="5"/>
        <v>27</v>
      </c>
    </row>
    <row r="14" spans="1:48" x14ac:dyDescent="0.25">
      <c r="A14" t="s">
        <v>759</v>
      </c>
      <c r="B14" t="s">
        <v>53</v>
      </c>
      <c r="C14" t="s">
        <v>43</v>
      </c>
      <c r="D14" t="s">
        <v>35</v>
      </c>
      <c r="E14" s="36">
        <v>46258</v>
      </c>
      <c r="F14" t="s">
        <v>114</v>
      </c>
      <c r="G14" t="s">
        <v>37</v>
      </c>
      <c r="H14" t="s">
        <v>37</v>
      </c>
      <c r="I14" t="s">
        <v>697</v>
      </c>
      <c r="J14" t="s">
        <v>697</v>
      </c>
      <c r="K14" t="s">
        <v>761</v>
      </c>
      <c r="L14" t="s">
        <v>64</v>
      </c>
      <c r="M14" t="s">
        <v>107</v>
      </c>
      <c r="N14" t="s">
        <v>14</v>
      </c>
      <c r="O14" t="s">
        <v>107</v>
      </c>
      <c r="P14" t="s">
        <v>762</v>
      </c>
      <c r="Q14" s="36">
        <v>46258</v>
      </c>
      <c r="R14" t="s">
        <v>763</v>
      </c>
      <c r="S14" s="36">
        <v>46280</v>
      </c>
      <c r="T14" t="s">
        <v>1034</v>
      </c>
      <c r="U14" s="36">
        <v>46265</v>
      </c>
      <c r="V14" s="36">
        <v>46309</v>
      </c>
      <c r="X14" t="s">
        <v>72</v>
      </c>
      <c r="Y14" t="s">
        <v>94</v>
      </c>
      <c r="AA14" t="s">
        <v>697</v>
      </c>
      <c r="AB14" t="s">
        <v>42</v>
      </c>
      <c r="AC14" t="s">
        <v>53</v>
      </c>
      <c r="AD14" s="36">
        <v>46280</v>
      </c>
      <c r="AE14" t="s">
        <v>72</v>
      </c>
      <c r="AF14" s="36">
        <v>46280</v>
      </c>
      <c r="AG14" t="s">
        <v>72</v>
      </c>
      <c r="AH14" s="43">
        <v>100</v>
      </c>
      <c r="AI14" s="43">
        <v>100</v>
      </c>
      <c r="AJ14" s="44">
        <v>100</v>
      </c>
      <c r="AK14" t="s">
        <v>697</v>
      </c>
      <c r="AM14" t="s">
        <v>697</v>
      </c>
      <c r="AN14" s="39" t="str">
        <f>VLOOKUP(M14,[1]municipios!$B:$D,3,0)</f>
        <v>CAMPO GRANDE INTERIOR</v>
      </c>
      <c r="AO14" s="37">
        <f t="shared" ca="1" si="0"/>
        <v>30</v>
      </c>
      <c r="AP14" s="38" t="str">
        <f t="shared" ca="1" si="1"/>
        <v>30–50 dias</v>
      </c>
      <c r="AQ14" s="39" t="str">
        <f t="shared" ca="1" si="2"/>
        <v>Fora</v>
      </c>
      <c r="AR14" s="39" t="str">
        <f t="shared" ca="1" si="3"/>
        <v>Não risco</v>
      </c>
      <c r="AS14" s="37" t="e">
        <f t="shared" si="6"/>
        <v>#VALUE!</v>
      </c>
      <c r="AT14" s="39">
        <f t="shared" ca="1" si="4"/>
        <v>22</v>
      </c>
      <c r="AU14" s="47" t="str">
        <f>VLOOKUP(X14,'pontos focais'!C:D,2,0)</f>
        <v>DCMD Programação de Obra</v>
      </c>
      <c r="AV14" s="41">
        <f t="shared" si="5"/>
        <v>7</v>
      </c>
    </row>
    <row r="15" spans="1:48" x14ac:dyDescent="0.25">
      <c r="A15" t="s">
        <v>764</v>
      </c>
      <c r="B15" t="s">
        <v>53</v>
      </c>
      <c r="C15" t="s">
        <v>43</v>
      </c>
      <c r="D15" t="s">
        <v>35</v>
      </c>
      <c r="E15" s="36">
        <v>46258</v>
      </c>
      <c r="F15" t="s">
        <v>114</v>
      </c>
      <c r="G15" t="s">
        <v>111</v>
      </c>
      <c r="H15" t="s">
        <v>111</v>
      </c>
      <c r="I15" t="s">
        <v>697</v>
      </c>
      <c r="J15" t="s">
        <v>697</v>
      </c>
      <c r="K15" t="s">
        <v>765</v>
      </c>
      <c r="L15" t="s">
        <v>64</v>
      </c>
      <c r="M15" t="s">
        <v>107</v>
      </c>
      <c r="N15" t="s">
        <v>14</v>
      </c>
      <c r="O15" t="s">
        <v>107</v>
      </c>
      <c r="P15" t="s">
        <v>766</v>
      </c>
      <c r="Q15" s="36">
        <v>46258</v>
      </c>
      <c r="R15" t="s">
        <v>767</v>
      </c>
      <c r="S15" s="36">
        <v>46269</v>
      </c>
      <c r="T15" t="s">
        <v>970</v>
      </c>
      <c r="U15" s="36">
        <v>46265</v>
      </c>
      <c r="W15" s="36">
        <v>46262</v>
      </c>
      <c r="X15" t="s">
        <v>72</v>
      </c>
      <c r="Y15" t="s">
        <v>94</v>
      </c>
      <c r="AA15" t="s">
        <v>697</v>
      </c>
      <c r="AB15" t="s">
        <v>42</v>
      </c>
      <c r="AC15" t="s">
        <v>53</v>
      </c>
      <c r="AD15" s="36">
        <v>46269</v>
      </c>
      <c r="AE15" t="s">
        <v>72</v>
      </c>
      <c r="AF15" s="36">
        <v>46269</v>
      </c>
      <c r="AG15" t="s">
        <v>72</v>
      </c>
      <c r="AH15" s="43">
        <v>100</v>
      </c>
      <c r="AI15" s="43">
        <v>100</v>
      </c>
      <c r="AJ15" s="44">
        <v>100</v>
      </c>
      <c r="AK15" t="s">
        <v>697</v>
      </c>
      <c r="AM15" t="s">
        <v>697</v>
      </c>
      <c r="AN15" s="39" t="str">
        <f>VLOOKUP(M15,[1]municipios!$B:$D,3,0)</f>
        <v>CAMPO GRANDE INTERIOR</v>
      </c>
      <c r="AO15" s="37">
        <f t="shared" ca="1" si="0"/>
        <v>30</v>
      </c>
      <c r="AP15" s="38" t="str">
        <f t="shared" ca="1" si="1"/>
        <v>30–50 dias</v>
      </c>
      <c r="AQ15" s="39" t="str">
        <f t="shared" ca="1" si="2"/>
        <v>Dentro</v>
      </c>
      <c r="AR15" s="39" t="str">
        <f t="shared" ca="1" si="3"/>
        <v>Não risco</v>
      </c>
      <c r="AS15" s="37" t="e">
        <f t="shared" si="6"/>
        <v>#VALUE!</v>
      </c>
      <c r="AT15" s="39">
        <f t="shared" ca="1" si="4"/>
        <v>11</v>
      </c>
      <c r="AU15" s="47" t="str">
        <f>VLOOKUP(X15,'pontos focais'!C:D,2,0)</f>
        <v>DCMD Programação de Obra</v>
      </c>
      <c r="AV15" s="41">
        <f t="shared" si="5"/>
        <v>7</v>
      </c>
    </row>
    <row r="16" spans="1:48" x14ac:dyDescent="0.25">
      <c r="A16" t="s">
        <v>768</v>
      </c>
      <c r="B16" t="s">
        <v>53</v>
      </c>
      <c r="C16" t="s">
        <v>43</v>
      </c>
      <c r="D16" t="s">
        <v>35</v>
      </c>
      <c r="E16" s="36">
        <v>46258</v>
      </c>
      <c r="F16" t="s">
        <v>114</v>
      </c>
      <c r="G16" t="s">
        <v>37</v>
      </c>
      <c r="H16" t="s">
        <v>156</v>
      </c>
      <c r="I16" t="s">
        <v>697</v>
      </c>
      <c r="J16" t="s">
        <v>697</v>
      </c>
      <c r="K16" t="s">
        <v>770</v>
      </c>
      <c r="L16" t="s">
        <v>64</v>
      </c>
      <c r="M16" t="s">
        <v>107</v>
      </c>
      <c r="N16" t="s">
        <v>14</v>
      </c>
      <c r="O16" t="s">
        <v>107</v>
      </c>
      <c r="P16" t="s">
        <v>766</v>
      </c>
      <c r="Q16" s="36">
        <v>46275</v>
      </c>
      <c r="R16" t="s">
        <v>1035</v>
      </c>
      <c r="S16" s="36">
        <v>46276</v>
      </c>
      <c r="U16" s="36">
        <v>46442</v>
      </c>
      <c r="X16" s="59" t="s">
        <v>1036</v>
      </c>
      <c r="Y16" t="s">
        <v>82</v>
      </c>
      <c r="AA16" t="s">
        <v>697</v>
      </c>
      <c r="AB16" t="s">
        <v>42</v>
      </c>
      <c r="AC16" t="s">
        <v>53</v>
      </c>
      <c r="AD16" s="36">
        <v>46276</v>
      </c>
      <c r="AE16" t="s">
        <v>83</v>
      </c>
      <c r="AF16" s="36">
        <v>46276</v>
      </c>
      <c r="AG16" t="s">
        <v>83</v>
      </c>
      <c r="AH16" s="43">
        <v>100</v>
      </c>
      <c r="AI16" s="43">
        <v>100</v>
      </c>
      <c r="AJ16" s="44">
        <v>100</v>
      </c>
      <c r="AK16" t="s">
        <v>697</v>
      </c>
      <c r="AM16" t="s">
        <v>697</v>
      </c>
      <c r="AN16" s="39" t="str">
        <f>VLOOKUP(M16,[1]municipios!$B:$D,3,0)</f>
        <v>CAMPO GRANDE INTERIOR</v>
      </c>
      <c r="AO16" s="37">
        <f t="shared" ca="1" si="0"/>
        <v>30</v>
      </c>
      <c r="AP16" s="38" t="str">
        <f t="shared" ca="1" si="1"/>
        <v>30–50 dias</v>
      </c>
      <c r="AQ16" s="39" t="str">
        <f t="shared" ca="1" si="2"/>
        <v>Dentro</v>
      </c>
      <c r="AR16" s="39" t="str">
        <f t="shared" ca="1" si="3"/>
        <v>Risco</v>
      </c>
      <c r="AS16" s="37" t="e">
        <f t="shared" si="6"/>
        <v>#VALUE!</v>
      </c>
      <c r="AT16" s="39">
        <f t="shared" ca="1" si="4"/>
        <v>1</v>
      </c>
      <c r="AU16" s="47" t="str">
        <f>VLOOKUP(X16,'pontos focais'!C:D,2,0)</f>
        <v>DCMD Orçamento e Projetos</v>
      </c>
      <c r="AV16" s="41">
        <f t="shared" si="5"/>
        <v>167</v>
      </c>
    </row>
    <row r="17" spans="1:48" x14ac:dyDescent="0.25">
      <c r="A17" t="s">
        <v>771</v>
      </c>
      <c r="B17" t="s">
        <v>53</v>
      </c>
      <c r="C17" t="s">
        <v>133</v>
      </c>
      <c r="D17" t="s">
        <v>55</v>
      </c>
      <c r="E17" s="36">
        <v>46258</v>
      </c>
      <c r="F17" t="s">
        <v>114</v>
      </c>
      <c r="G17" t="s">
        <v>37</v>
      </c>
      <c r="H17" t="s">
        <v>156</v>
      </c>
      <c r="I17" t="s">
        <v>697</v>
      </c>
      <c r="J17" t="s">
        <v>697</v>
      </c>
      <c r="K17" t="s">
        <v>773</v>
      </c>
      <c r="L17" t="s">
        <v>57</v>
      </c>
      <c r="M17" t="s">
        <v>774</v>
      </c>
      <c r="N17" t="s">
        <v>14</v>
      </c>
      <c r="O17" t="s">
        <v>774</v>
      </c>
      <c r="P17" t="s">
        <v>775</v>
      </c>
      <c r="Q17" s="36">
        <v>46258</v>
      </c>
      <c r="R17" t="s">
        <v>776</v>
      </c>
      <c r="S17" s="36">
        <v>46273</v>
      </c>
      <c r="V17" s="36">
        <v>46261</v>
      </c>
      <c r="X17" t="s">
        <v>56</v>
      </c>
      <c r="Y17" t="s">
        <v>316</v>
      </c>
      <c r="AA17" t="s">
        <v>56</v>
      </c>
      <c r="AB17" t="s">
        <v>42</v>
      </c>
      <c r="AC17" t="s">
        <v>14</v>
      </c>
      <c r="AD17" s="36">
        <v>46273</v>
      </c>
      <c r="AE17" t="s">
        <v>155</v>
      </c>
      <c r="AF17" s="36">
        <v>46273</v>
      </c>
      <c r="AG17" t="s">
        <v>155</v>
      </c>
      <c r="AH17" s="43">
        <v>100</v>
      </c>
      <c r="AI17" s="43">
        <v>100</v>
      </c>
      <c r="AJ17" s="44">
        <v>100</v>
      </c>
      <c r="AK17" t="s">
        <v>697</v>
      </c>
      <c r="AM17" t="s">
        <v>697</v>
      </c>
      <c r="AN17" s="39" t="str">
        <f>VLOOKUP(M17,[1]municipios!$B:$D,3,0)</f>
        <v>COXIM</v>
      </c>
      <c r="AO17" s="37">
        <f t="shared" ca="1" si="0"/>
        <v>30</v>
      </c>
      <c r="AP17" s="38" t="str">
        <f t="shared" ca="1" si="1"/>
        <v>30–50 dias</v>
      </c>
      <c r="AQ17" s="39" t="str">
        <f t="shared" ca="1" si="2"/>
        <v>Dentro</v>
      </c>
      <c r="AR17" s="39" t="str">
        <f t="shared" ca="1" si="3"/>
        <v>Não risco</v>
      </c>
      <c r="AS17" s="37" t="e">
        <f t="shared" si="6"/>
        <v>#VALUE!</v>
      </c>
      <c r="AT17" s="39">
        <f t="shared" ca="1" si="4"/>
        <v>15</v>
      </c>
      <c r="AU17" s="47" t="str">
        <f>VLOOKUP(X17,'pontos focais'!C:D,2,0)</f>
        <v>DESC Agentes de Relacionamento</v>
      </c>
      <c r="AV17" s="41">
        <f t="shared" si="5"/>
        <v>-46258</v>
      </c>
    </row>
    <row r="18" spans="1:48" x14ac:dyDescent="0.25">
      <c r="A18" t="s">
        <v>771</v>
      </c>
      <c r="B18" t="s">
        <v>53</v>
      </c>
      <c r="C18" t="s">
        <v>43</v>
      </c>
      <c r="D18" t="s">
        <v>35</v>
      </c>
      <c r="E18" s="36">
        <v>46258</v>
      </c>
      <c r="F18" t="s">
        <v>114</v>
      </c>
      <c r="G18" t="s">
        <v>37</v>
      </c>
      <c r="H18" t="s">
        <v>37</v>
      </c>
      <c r="I18" t="s">
        <v>697</v>
      </c>
      <c r="J18" t="s">
        <v>697</v>
      </c>
      <c r="K18" t="s">
        <v>773</v>
      </c>
      <c r="L18" t="s">
        <v>57</v>
      </c>
      <c r="M18" t="s">
        <v>774</v>
      </c>
      <c r="N18" t="s">
        <v>14</v>
      </c>
      <c r="O18" t="s">
        <v>774</v>
      </c>
      <c r="P18" t="s">
        <v>775</v>
      </c>
      <c r="Q18" s="36">
        <v>46258</v>
      </c>
      <c r="R18" t="s">
        <v>779</v>
      </c>
      <c r="S18" s="36">
        <v>46280</v>
      </c>
      <c r="T18" t="s">
        <v>1037</v>
      </c>
      <c r="U18" s="36">
        <v>46295</v>
      </c>
      <c r="V18" s="36">
        <v>46291</v>
      </c>
      <c r="X18" t="s">
        <v>72</v>
      </c>
      <c r="Y18" t="s">
        <v>94</v>
      </c>
      <c r="AA18" t="s">
        <v>56</v>
      </c>
      <c r="AB18" t="s">
        <v>42</v>
      </c>
      <c r="AC18" t="s">
        <v>14</v>
      </c>
      <c r="AD18" s="36">
        <v>46280</v>
      </c>
      <c r="AE18" t="s">
        <v>72</v>
      </c>
      <c r="AF18" s="36">
        <v>46280</v>
      </c>
      <c r="AG18" t="s">
        <v>72</v>
      </c>
      <c r="AH18" s="43">
        <v>100</v>
      </c>
      <c r="AI18" s="43">
        <v>100</v>
      </c>
      <c r="AJ18" s="44">
        <v>100</v>
      </c>
      <c r="AK18" t="s">
        <v>697</v>
      </c>
      <c r="AM18" t="s">
        <v>697</v>
      </c>
      <c r="AN18" s="39" t="str">
        <f>VLOOKUP(M18,[1]municipios!$B:$D,3,0)</f>
        <v>COXIM</v>
      </c>
      <c r="AO18" s="37">
        <f t="shared" ca="1" si="0"/>
        <v>30</v>
      </c>
      <c r="AP18" s="38" t="str">
        <f t="shared" ca="1" si="1"/>
        <v>30–50 dias</v>
      </c>
      <c r="AQ18" s="39" t="str">
        <f t="shared" ca="1" si="2"/>
        <v>Dentro</v>
      </c>
      <c r="AR18" s="39" t="str">
        <f t="shared" ca="1" si="3"/>
        <v>Risco</v>
      </c>
      <c r="AS18" s="37" t="e">
        <f t="shared" si="6"/>
        <v>#VALUE!</v>
      </c>
      <c r="AT18" s="39">
        <f t="shared" ca="1" si="4"/>
        <v>22</v>
      </c>
      <c r="AU18" s="47" t="str">
        <f>VLOOKUP(X18,'pontos focais'!C:D,2,0)</f>
        <v>DCMD Programação de Obra</v>
      </c>
      <c r="AV18" s="41">
        <f t="shared" si="5"/>
        <v>37</v>
      </c>
    </row>
    <row r="19" spans="1:48" x14ac:dyDescent="0.25">
      <c r="A19" t="s">
        <v>780</v>
      </c>
      <c r="B19" t="s">
        <v>53</v>
      </c>
      <c r="C19" t="s">
        <v>43</v>
      </c>
      <c r="D19" t="s">
        <v>35</v>
      </c>
      <c r="E19" s="36">
        <v>46254</v>
      </c>
      <c r="F19" t="s">
        <v>114</v>
      </c>
      <c r="G19" t="s">
        <v>37</v>
      </c>
      <c r="H19" t="s">
        <v>111</v>
      </c>
      <c r="I19" t="s">
        <v>697</v>
      </c>
      <c r="J19" t="s">
        <v>697</v>
      </c>
      <c r="K19" t="s">
        <v>697</v>
      </c>
      <c r="L19" t="s">
        <v>64</v>
      </c>
      <c r="M19" t="s">
        <v>107</v>
      </c>
      <c r="N19" t="s">
        <v>102</v>
      </c>
      <c r="O19" t="s">
        <v>107</v>
      </c>
      <c r="P19" t="s">
        <v>781</v>
      </c>
      <c r="Q19" s="36">
        <v>46259</v>
      </c>
      <c r="R19" t="s">
        <v>782</v>
      </c>
      <c r="S19" s="36">
        <v>46273</v>
      </c>
      <c r="U19" s="36">
        <v>46265</v>
      </c>
      <c r="X19" t="s">
        <v>66</v>
      </c>
      <c r="Y19" t="s">
        <v>959</v>
      </c>
      <c r="Z19" t="s">
        <v>783</v>
      </c>
      <c r="AA19" t="s">
        <v>697</v>
      </c>
      <c r="AB19" t="s">
        <v>42</v>
      </c>
      <c r="AC19" t="s">
        <v>53</v>
      </c>
      <c r="AD19" s="36">
        <v>46273</v>
      </c>
      <c r="AE19" t="s">
        <v>66</v>
      </c>
      <c r="AF19" s="36">
        <v>46273</v>
      </c>
      <c r="AG19" t="s">
        <v>66</v>
      </c>
      <c r="AH19" s="43">
        <v>100</v>
      </c>
      <c r="AI19" s="43">
        <v>100</v>
      </c>
      <c r="AJ19" s="44">
        <v>100</v>
      </c>
      <c r="AK19" t="s">
        <v>697</v>
      </c>
      <c r="AM19" t="s">
        <v>697</v>
      </c>
      <c r="AN19" s="39" t="str">
        <f>VLOOKUP(M19,[1]municipios!$B:$D,3,0)</f>
        <v>CAMPO GRANDE INTERIOR</v>
      </c>
      <c r="AO19" s="37">
        <f t="shared" ca="1" si="0"/>
        <v>34</v>
      </c>
      <c r="AP19" s="38" t="str">
        <f t="shared" ca="1" si="1"/>
        <v>&gt;50 dias</v>
      </c>
      <c r="AQ19" s="39" t="str">
        <f t="shared" ca="1" si="2"/>
        <v>Fora</v>
      </c>
      <c r="AR19" s="39" t="str">
        <f t="shared" ca="1" si="3"/>
        <v>Não risco</v>
      </c>
      <c r="AS19" s="37" t="e">
        <f t="shared" si="6"/>
        <v>#VALUE!</v>
      </c>
      <c r="AT19" s="39">
        <f t="shared" ca="1" si="4"/>
        <v>14</v>
      </c>
      <c r="AU19" s="47" t="str">
        <f>VLOOKUP(X19,'pontos focais'!C:D,2,0)</f>
        <v>DCMD Orçamento e Projetos</v>
      </c>
      <c r="AV19" s="41">
        <f t="shared" si="5"/>
        <v>6</v>
      </c>
    </row>
    <row r="20" spans="1:48" x14ac:dyDescent="0.25">
      <c r="A20" t="s">
        <v>780</v>
      </c>
      <c r="B20" t="s">
        <v>53</v>
      </c>
      <c r="C20" t="s">
        <v>43</v>
      </c>
      <c r="D20" t="s">
        <v>55</v>
      </c>
      <c r="E20" s="36">
        <v>46254</v>
      </c>
      <c r="F20" t="s">
        <v>114</v>
      </c>
      <c r="G20" t="s">
        <v>37</v>
      </c>
      <c r="H20" t="s">
        <v>156</v>
      </c>
      <c r="I20" t="s">
        <v>1038</v>
      </c>
      <c r="J20" t="s">
        <v>697</v>
      </c>
      <c r="K20" t="s">
        <v>1039</v>
      </c>
      <c r="L20" t="s">
        <v>64</v>
      </c>
      <c r="M20" t="s">
        <v>107</v>
      </c>
      <c r="N20" t="s">
        <v>102</v>
      </c>
      <c r="O20" t="s">
        <v>107</v>
      </c>
      <c r="P20" t="s">
        <v>781</v>
      </c>
      <c r="Q20" s="36">
        <v>46275</v>
      </c>
      <c r="R20" t="s">
        <v>1040</v>
      </c>
      <c r="X20" t="s">
        <v>49</v>
      </c>
      <c r="Y20" t="s">
        <v>697</v>
      </c>
      <c r="Z20" t="s">
        <v>783</v>
      </c>
      <c r="AA20" t="s">
        <v>697</v>
      </c>
      <c r="AB20" t="s">
        <v>42</v>
      </c>
      <c r="AC20" t="s">
        <v>53</v>
      </c>
      <c r="AD20" s="36">
        <v>46276</v>
      </c>
      <c r="AE20" t="s">
        <v>71</v>
      </c>
      <c r="AF20" s="36">
        <v>46276</v>
      </c>
      <c r="AG20" t="s">
        <v>71</v>
      </c>
      <c r="AH20" s="43">
        <v>100</v>
      </c>
      <c r="AI20" s="43">
        <v>100</v>
      </c>
      <c r="AJ20" s="44">
        <v>50</v>
      </c>
      <c r="AK20" t="s">
        <v>777</v>
      </c>
      <c r="AM20" t="s">
        <v>778</v>
      </c>
      <c r="AN20" s="39" t="str">
        <f>VLOOKUP(M20,[1]municipios!$B:$D,3,0)</f>
        <v>CAMPO GRANDE INTERIOR</v>
      </c>
      <c r="AO20" s="37">
        <f t="shared" ca="1" si="0"/>
        <v>34</v>
      </c>
      <c r="AP20" s="38" t="str">
        <f t="shared" ca="1" si="1"/>
        <v>&gt;50 dias</v>
      </c>
      <c r="AQ20" s="39" t="str">
        <f t="shared" ca="1" si="2"/>
        <v>Dentro</v>
      </c>
      <c r="AR20" s="39" t="str">
        <f t="shared" ca="1" si="3"/>
        <v>Não risco</v>
      </c>
      <c r="AS20" s="37" t="e">
        <f t="shared" si="6"/>
        <v>#VALUE!</v>
      </c>
      <c r="AT20" s="39">
        <f t="shared" ca="1" si="4"/>
        <v>13</v>
      </c>
      <c r="AU20" s="47" t="str">
        <f>VLOOKUP(X20,'pontos focais'!C:D,2,0)</f>
        <v>DESC Agentes de Relacionamento</v>
      </c>
      <c r="AV20" s="41">
        <f t="shared" si="5"/>
        <v>-46275</v>
      </c>
    </row>
    <row r="21" spans="1:48" x14ac:dyDescent="0.25">
      <c r="A21" t="s">
        <v>784</v>
      </c>
      <c r="B21" t="s">
        <v>53</v>
      </c>
      <c r="C21" t="s">
        <v>74</v>
      </c>
      <c r="D21" t="s">
        <v>35</v>
      </c>
      <c r="E21" s="36">
        <v>46265</v>
      </c>
      <c r="F21" t="s">
        <v>67</v>
      </c>
      <c r="G21" t="s">
        <v>111</v>
      </c>
      <c r="H21" t="s">
        <v>111</v>
      </c>
      <c r="I21" t="s">
        <v>697</v>
      </c>
      <c r="J21" t="s">
        <v>785</v>
      </c>
      <c r="K21" t="s">
        <v>697</v>
      </c>
      <c r="L21" t="s">
        <v>39</v>
      </c>
      <c r="M21" t="s">
        <v>45</v>
      </c>
      <c r="N21" t="s">
        <v>68</v>
      </c>
      <c r="O21" t="s">
        <v>45</v>
      </c>
      <c r="P21" t="s">
        <v>786</v>
      </c>
      <c r="Q21" s="36">
        <v>46259</v>
      </c>
      <c r="R21" t="s">
        <v>786</v>
      </c>
      <c r="S21" s="36">
        <v>46265</v>
      </c>
      <c r="T21" t="s">
        <v>971</v>
      </c>
      <c r="X21" t="s">
        <v>77</v>
      </c>
      <c r="Y21" t="s">
        <v>972</v>
      </c>
      <c r="AA21" t="s">
        <v>697</v>
      </c>
      <c r="AB21" t="s">
        <v>42</v>
      </c>
      <c r="AC21" t="s">
        <v>53</v>
      </c>
      <c r="AD21" s="36">
        <v>46265</v>
      </c>
      <c r="AE21" t="s">
        <v>77</v>
      </c>
      <c r="AF21" s="36">
        <v>46265</v>
      </c>
      <c r="AG21" t="s">
        <v>77</v>
      </c>
      <c r="AH21" s="43">
        <v>25</v>
      </c>
      <c r="AI21" s="43">
        <v>25</v>
      </c>
      <c r="AJ21" s="44">
        <v>25</v>
      </c>
      <c r="AK21" t="s">
        <v>697</v>
      </c>
      <c r="AM21" t="s">
        <v>697</v>
      </c>
      <c r="AN21" s="39" t="str">
        <f>VLOOKUP(M21,[1]municipios!$B:$D,3,0)</f>
        <v>DOURADOS</v>
      </c>
      <c r="AO21" s="37">
        <f t="shared" ca="1" si="0"/>
        <v>23</v>
      </c>
      <c r="AP21" s="38" t="str">
        <f t="shared" ca="1" si="1"/>
        <v>30–50 dias</v>
      </c>
      <c r="AQ21" s="39" t="str">
        <f t="shared" ca="1" si="2"/>
        <v>Dentro</v>
      </c>
      <c r="AR21" s="39" t="str">
        <f t="shared" ca="1" si="3"/>
        <v>Não risco</v>
      </c>
      <c r="AS21" s="37" t="e">
        <f t="shared" si="6"/>
        <v>#VALUE!</v>
      </c>
      <c r="AT21" s="39">
        <f t="shared" ca="1" si="4"/>
        <v>6</v>
      </c>
      <c r="AU21" s="47" t="str">
        <f>VLOOKUP(X21,'pontos focais'!C:D,2,0)</f>
        <v>DCMD Manutenção</v>
      </c>
      <c r="AV21" s="41">
        <f t="shared" si="5"/>
        <v>-46259</v>
      </c>
    </row>
    <row r="22" spans="1:48" x14ac:dyDescent="0.25">
      <c r="A22" t="s">
        <v>787</v>
      </c>
      <c r="B22" t="s">
        <v>53</v>
      </c>
      <c r="C22" t="s">
        <v>43</v>
      </c>
      <c r="D22" t="s">
        <v>35</v>
      </c>
      <c r="E22" s="36">
        <v>46262</v>
      </c>
      <c r="F22" t="s">
        <v>44</v>
      </c>
      <c r="G22" t="s">
        <v>111</v>
      </c>
      <c r="H22" t="s">
        <v>111</v>
      </c>
      <c r="I22" t="s">
        <v>697</v>
      </c>
      <c r="J22" t="s">
        <v>697</v>
      </c>
      <c r="K22" t="s">
        <v>747</v>
      </c>
      <c r="L22" t="s">
        <v>39</v>
      </c>
      <c r="M22" t="s">
        <v>273</v>
      </c>
      <c r="N22" t="s">
        <v>80</v>
      </c>
      <c r="O22" t="s">
        <v>273</v>
      </c>
      <c r="P22" t="s">
        <v>1041</v>
      </c>
      <c r="Q22" s="36">
        <v>46262</v>
      </c>
      <c r="R22" t="s">
        <v>790</v>
      </c>
      <c r="S22" s="36">
        <v>46280</v>
      </c>
      <c r="T22" t="s">
        <v>1042</v>
      </c>
      <c r="U22" s="36">
        <v>46280</v>
      </c>
      <c r="V22" s="36">
        <v>46279</v>
      </c>
      <c r="X22" t="s">
        <v>72</v>
      </c>
      <c r="Y22" t="s">
        <v>94</v>
      </c>
      <c r="Z22" t="s">
        <v>791</v>
      </c>
      <c r="AA22" t="s">
        <v>44</v>
      </c>
      <c r="AB22" t="s">
        <v>42</v>
      </c>
      <c r="AC22" t="s">
        <v>53</v>
      </c>
      <c r="AD22" s="36">
        <v>46280</v>
      </c>
      <c r="AE22" t="s">
        <v>72</v>
      </c>
      <c r="AF22" s="36">
        <v>46280</v>
      </c>
      <c r="AG22" t="s">
        <v>72</v>
      </c>
      <c r="AH22" s="43">
        <v>100</v>
      </c>
      <c r="AI22" s="43">
        <v>100</v>
      </c>
      <c r="AJ22" s="44">
        <v>100</v>
      </c>
      <c r="AK22" t="s">
        <v>697</v>
      </c>
      <c r="AM22" t="s">
        <v>697</v>
      </c>
      <c r="AN22" s="39" t="str">
        <f>VLOOKUP(M22,[1]municipios!$B:$D,3,0)</f>
        <v>PONTA PORA</v>
      </c>
      <c r="AO22" s="37">
        <f t="shared" ca="1" si="0"/>
        <v>26</v>
      </c>
      <c r="AP22" s="38" t="str">
        <f t="shared" ca="1" si="1"/>
        <v>30–50 dias</v>
      </c>
      <c r="AQ22" s="39" t="str">
        <f t="shared" ca="1" si="2"/>
        <v>Fora</v>
      </c>
      <c r="AR22" s="39" t="str">
        <f t="shared" ca="1" si="3"/>
        <v>Não risco</v>
      </c>
      <c r="AS22" s="37" t="e">
        <f t="shared" si="6"/>
        <v>#VALUE!</v>
      </c>
      <c r="AT22" s="39">
        <f t="shared" ca="1" si="4"/>
        <v>18</v>
      </c>
      <c r="AU22" s="47" t="str">
        <f>VLOOKUP(X22,'pontos focais'!C:D,2,0)</f>
        <v>DCMD Programação de Obra</v>
      </c>
      <c r="AV22" s="41">
        <f t="shared" si="5"/>
        <v>18</v>
      </c>
    </row>
    <row r="23" spans="1:48" x14ac:dyDescent="0.25">
      <c r="A23" t="s">
        <v>960</v>
      </c>
      <c r="B23" t="s">
        <v>53</v>
      </c>
      <c r="C23" t="s">
        <v>43</v>
      </c>
      <c r="D23" t="s">
        <v>35</v>
      </c>
      <c r="E23" s="36">
        <v>46295</v>
      </c>
      <c r="F23" t="s">
        <v>88</v>
      </c>
      <c r="G23" t="s">
        <v>37</v>
      </c>
      <c r="H23" t="s">
        <v>37</v>
      </c>
      <c r="I23" t="s">
        <v>697</v>
      </c>
      <c r="J23" t="s">
        <v>697</v>
      </c>
      <c r="K23" t="s">
        <v>961</v>
      </c>
      <c r="L23" t="s">
        <v>39</v>
      </c>
      <c r="M23" t="s">
        <v>962</v>
      </c>
      <c r="N23" t="s">
        <v>14</v>
      </c>
      <c r="O23" t="s">
        <v>962</v>
      </c>
      <c r="P23" t="s">
        <v>963</v>
      </c>
      <c r="Q23" s="36">
        <v>46265</v>
      </c>
      <c r="R23" t="s">
        <v>964</v>
      </c>
      <c r="S23" s="36">
        <v>46280</v>
      </c>
      <c r="T23" t="s">
        <v>1043</v>
      </c>
      <c r="V23" s="36">
        <v>46293</v>
      </c>
      <c r="X23" t="s">
        <v>72</v>
      </c>
      <c r="Y23" t="s">
        <v>94</v>
      </c>
      <c r="Z23" t="s">
        <v>965</v>
      </c>
      <c r="AA23" t="s">
        <v>114</v>
      </c>
      <c r="AB23" t="s">
        <v>42</v>
      </c>
      <c r="AC23" t="s">
        <v>14</v>
      </c>
      <c r="AD23" s="36">
        <v>46280</v>
      </c>
      <c r="AE23" t="s">
        <v>72</v>
      </c>
      <c r="AF23" s="36">
        <v>46280</v>
      </c>
      <c r="AG23" t="s">
        <v>72</v>
      </c>
      <c r="AH23" s="43">
        <v>100</v>
      </c>
      <c r="AI23" s="43">
        <v>100</v>
      </c>
      <c r="AJ23" s="44">
        <v>100</v>
      </c>
      <c r="AK23" t="s">
        <v>697</v>
      </c>
      <c r="AM23" t="s">
        <v>697</v>
      </c>
      <c r="AN23" s="39" t="str">
        <f>VLOOKUP(M23,[1]municipios!$B:$D,3,0)</f>
        <v>DOURADOS</v>
      </c>
      <c r="AO23" s="37">
        <f t="shared" ca="1" si="0"/>
        <v>-7</v>
      </c>
      <c r="AP23" s="38" t="str">
        <f t="shared" ca="1" si="1"/>
        <v>0–5 dias</v>
      </c>
      <c r="AQ23" s="39" t="str">
        <f t="shared" ca="1" si="2"/>
        <v>Dentro</v>
      </c>
      <c r="AR23" s="39" t="str">
        <f t="shared" ca="1" si="3"/>
        <v>Não risco</v>
      </c>
      <c r="AS23" s="37" t="e">
        <f t="shared" si="6"/>
        <v>#VALUE!</v>
      </c>
      <c r="AT23" s="39">
        <f t="shared" ca="1" si="4"/>
        <v>15</v>
      </c>
      <c r="AU23" s="47" t="str">
        <f>VLOOKUP(X23,'pontos focais'!C:D,2,0)</f>
        <v>DCMD Programação de Obra</v>
      </c>
      <c r="AV23" s="41">
        <f t="shared" si="5"/>
        <v>-46265</v>
      </c>
    </row>
    <row r="24" spans="1:48" x14ac:dyDescent="0.25">
      <c r="A24" t="s">
        <v>989</v>
      </c>
      <c r="B24" t="s">
        <v>53</v>
      </c>
      <c r="C24" t="s">
        <v>43</v>
      </c>
      <c r="D24" t="s">
        <v>35</v>
      </c>
      <c r="E24" s="36">
        <v>46267</v>
      </c>
      <c r="F24" t="s">
        <v>44</v>
      </c>
      <c r="G24" t="s">
        <v>37</v>
      </c>
      <c r="H24" t="s">
        <v>156</v>
      </c>
      <c r="I24" t="s">
        <v>990</v>
      </c>
      <c r="J24" t="s">
        <v>697</v>
      </c>
      <c r="K24" t="s">
        <v>991</v>
      </c>
      <c r="L24" t="s">
        <v>64</v>
      </c>
      <c r="M24" t="s">
        <v>992</v>
      </c>
      <c r="N24" t="s">
        <v>80</v>
      </c>
      <c r="O24" t="s">
        <v>992</v>
      </c>
      <c r="P24" t="s">
        <v>993</v>
      </c>
      <c r="Q24" s="36">
        <v>46282</v>
      </c>
      <c r="R24" t="s">
        <v>1044</v>
      </c>
      <c r="X24" t="s">
        <v>72</v>
      </c>
      <c r="Y24" t="s">
        <v>697</v>
      </c>
      <c r="Z24" t="s">
        <v>995</v>
      </c>
      <c r="AA24" t="s">
        <v>44</v>
      </c>
      <c r="AB24" t="s">
        <v>42</v>
      </c>
      <c r="AC24" t="s">
        <v>53</v>
      </c>
      <c r="AD24" s="36">
        <v>46282</v>
      </c>
      <c r="AE24" t="s">
        <v>71</v>
      </c>
      <c r="AF24" s="36">
        <v>46282</v>
      </c>
      <c r="AG24" t="s">
        <v>71</v>
      </c>
      <c r="AH24" s="43">
        <v>100</v>
      </c>
      <c r="AI24" s="43">
        <v>100</v>
      </c>
      <c r="AJ24" s="44">
        <v>50</v>
      </c>
      <c r="AK24" t="s">
        <v>654</v>
      </c>
      <c r="AM24" t="s">
        <v>653</v>
      </c>
      <c r="AN24" s="39" t="str">
        <f>VLOOKUP(M24,[1]municipios!$B:$D,3,0)</f>
        <v>CAMPO GRANDE INTERIOR</v>
      </c>
      <c r="AO24" s="37">
        <f t="shared" ca="1" si="0"/>
        <v>21</v>
      </c>
      <c r="AP24" s="38" t="str">
        <f t="shared" ca="1" si="1"/>
        <v>30–50 dias</v>
      </c>
      <c r="AQ24" s="39" t="str">
        <f t="shared" ca="1" si="2"/>
        <v>Dentro</v>
      </c>
      <c r="AR24" s="39" t="str">
        <f t="shared" ca="1" si="3"/>
        <v>Não risco</v>
      </c>
      <c r="AS24" s="37" t="e">
        <f t="shared" si="6"/>
        <v>#VALUE!</v>
      </c>
      <c r="AT24" s="39">
        <f t="shared" ca="1" si="4"/>
        <v>6</v>
      </c>
      <c r="AU24" s="47" t="str">
        <f>VLOOKUP(X24,'pontos focais'!C:D,2,0)</f>
        <v>DCMD Programação de Obra</v>
      </c>
      <c r="AV24" s="41">
        <f t="shared" si="5"/>
        <v>-46282</v>
      </c>
    </row>
    <row r="25" spans="1:48" x14ac:dyDescent="0.25">
      <c r="A25" t="s">
        <v>996</v>
      </c>
      <c r="B25" t="s">
        <v>53</v>
      </c>
      <c r="C25" t="s">
        <v>34</v>
      </c>
      <c r="D25" t="s">
        <v>78</v>
      </c>
      <c r="E25" s="36">
        <v>46268</v>
      </c>
      <c r="F25" t="s">
        <v>44</v>
      </c>
      <c r="G25" t="s">
        <v>37</v>
      </c>
      <c r="H25" t="s">
        <v>156</v>
      </c>
      <c r="I25" t="s">
        <v>997</v>
      </c>
      <c r="J25" t="s">
        <v>998</v>
      </c>
      <c r="K25" t="s">
        <v>697</v>
      </c>
      <c r="L25" t="s">
        <v>64</v>
      </c>
      <c r="M25" t="s">
        <v>110</v>
      </c>
      <c r="N25" t="s">
        <v>14</v>
      </c>
      <c r="O25" t="s">
        <v>110</v>
      </c>
      <c r="P25" t="s">
        <v>999</v>
      </c>
      <c r="Q25" s="36">
        <v>46269</v>
      </c>
      <c r="R25" t="s">
        <v>1000</v>
      </c>
      <c r="X25" t="s">
        <v>108</v>
      </c>
      <c r="Y25" t="s">
        <v>697</v>
      </c>
      <c r="Z25" t="s">
        <v>1001</v>
      </c>
      <c r="AA25" t="s">
        <v>44</v>
      </c>
      <c r="AB25" t="s">
        <v>42</v>
      </c>
      <c r="AC25" t="s">
        <v>53</v>
      </c>
      <c r="AD25" s="36">
        <v>46269</v>
      </c>
      <c r="AE25" t="s">
        <v>71</v>
      </c>
      <c r="AF25" s="36">
        <v>46269</v>
      </c>
      <c r="AG25" t="s">
        <v>71</v>
      </c>
      <c r="AH25" s="43">
        <v>100</v>
      </c>
      <c r="AI25" s="43">
        <v>100</v>
      </c>
      <c r="AJ25" s="44">
        <v>50</v>
      </c>
      <c r="AK25" t="s">
        <v>669</v>
      </c>
      <c r="AM25" t="s">
        <v>688</v>
      </c>
      <c r="AN25" s="39" t="str">
        <f>VLOOKUP(M25,[1]municipios!$B:$D,3,0)</f>
        <v>PARANAIBA</v>
      </c>
      <c r="AO25" s="37">
        <f t="shared" ca="1" si="0"/>
        <v>20</v>
      </c>
      <c r="AP25" s="38" t="str">
        <f t="shared" ca="1" si="1"/>
        <v>30–50 dias</v>
      </c>
      <c r="AQ25" s="39" t="str">
        <f t="shared" ca="1" si="2"/>
        <v>Dentro</v>
      </c>
      <c r="AR25" s="39" t="str">
        <f t="shared" ca="1" si="3"/>
        <v>Não risco</v>
      </c>
      <c r="AS25" s="37" t="e">
        <f t="shared" si="6"/>
        <v>#VALUE!</v>
      </c>
      <c r="AT25" s="39">
        <f t="shared" ca="1" si="4"/>
        <v>19</v>
      </c>
      <c r="AU25" s="47" t="str">
        <f>VLOOKUP(X25,'pontos focais'!C:D,2,0)</f>
        <v>DEOP Qualidade</v>
      </c>
      <c r="AV25" s="41">
        <f t="shared" si="5"/>
        <v>-46269</v>
      </c>
    </row>
    <row r="26" spans="1:48" x14ac:dyDescent="0.25">
      <c r="A26" t="s">
        <v>1002</v>
      </c>
      <c r="B26" t="s">
        <v>53</v>
      </c>
      <c r="C26" t="s">
        <v>43</v>
      </c>
      <c r="D26" t="s">
        <v>35</v>
      </c>
      <c r="E26" s="36">
        <v>46268</v>
      </c>
      <c r="F26" t="s">
        <v>44</v>
      </c>
      <c r="G26" t="s">
        <v>37</v>
      </c>
      <c r="H26" t="s">
        <v>37</v>
      </c>
      <c r="I26" t="s">
        <v>697</v>
      </c>
      <c r="J26" t="s">
        <v>697</v>
      </c>
      <c r="K26" t="s">
        <v>1003</v>
      </c>
      <c r="L26" t="s">
        <v>39</v>
      </c>
      <c r="M26" t="s">
        <v>1004</v>
      </c>
      <c r="N26" t="s">
        <v>14</v>
      </c>
      <c r="O26" t="s">
        <v>1004</v>
      </c>
      <c r="P26" t="s">
        <v>1005</v>
      </c>
      <c r="Q26" s="36">
        <v>46269</v>
      </c>
      <c r="R26" t="s">
        <v>1006</v>
      </c>
      <c r="S26" s="36">
        <v>46280</v>
      </c>
      <c r="V26" s="36">
        <v>46294</v>
      </c>
      <c r="X26" t="s">
        <v>72</v>
      </c>
      <c r="Y26" t="s">
        <v>94</v>
      </c>
      <c r="Z26" t="s">
        <v>1007</v>
      </c>
      <c r="AA26" t="s">
        <v>44</v>
      </c>
      <c r="AB26" t="s">
        <v>42</v>
      </c>
      <c r="AC26" t="s">
        <v>53</v>
      </c>
      <c r="AD26" s="36">
        <v>46280</v>
      </c>
      <c r="AE26" t="s">
        <v>72</v>
      </c>
      <c r="AF26" s="36">
        <v>46280</v>
      </c>
      <c r="AG26" t="s">
        <v>72</v>
      </c>
      <c r="AH26" s="43">
        <v>100</v>
      </c>
      <c r="AI26" s="43">
        <v>100</v>
      </c>
      <c r="AJ26" s="44">
        <v>100</v>
      </c>
      <c r="AK26" t="s">
        <v>697</v>
      </c>
      <c r="AM26" t="s">
        <v>697</v>
      </c>
      <c r="AN26" s="39" t="str">
        <f>VLOOKUP(M26,[1]municipios!$B:$D,3,0)</f>
        <v>PONTA PORA</v>
      </c>
      <c r="AO26" s="37">
        <f t="shared" ca="1" si="0"/>
        <v>20</v>
      </c>
      <c r="AP26" s="38" t="str">
        <f t="shared" ca="1" si="1"/>
        <v>30–50 dias</v>
      </c>
      <c r="AQ26" s="39" t="str">
        <f t="shared" ca="1" si="2"/>
        <v>Dentro</v>
      </c>
      <c r="AR26" s="39" t="str">
        <f t="shared" ca="1" si="3"/>
        <v>Não risco</v>
      </c>
      <c r="AS26" s="37" t="e">
        <f t="shared" si="6"/>
        <v>#VALUE!</v>
      </c>
      <c r="AT26" s="39">
        <f t="shared" ca="1" si="4"/>
        <v>11</v>
      </c>
      <c r="AU26" s="47" t="str">
        <f>VLOOKUP(X26,'pontos focais'!C:D,2,0)</f>
        <v>DCMD Programação de Obra</v>
      </c>
      <c r="AV26" s="41">
        <f t="shared" si="5"/>
        <v>-46269</v>
      </c>
    </row>
    <row r="27" spans="1:48" x14ac:dyDescent="0.25">
      <c r="A27" t="s">
        <v>973</v>
      </c>
      <c r="B27" t="s">
        <v>53</v>
      </c>
      <c r="C27" t="s">
        <v>133</v>
      </c>
      <c r="D27" t="s">
        <v>118</v>
      </c>
      <c r="E27" s="36">
        <v>46266</v>
      </c>
      <c r="F27" t="s">
        <v>67</v>
      </c>
      <c r="G27" t="s">
        <v>111</v>
      </c>
      <c r="H27" t="s">
        <v>111</v>
      </c>
      <c r="I27" t="s">
        <v>697</v>
      </c>
      <c r="J27" t="s">
        <v>697</v>
      </c>
      <c r="K27" t="s">
        <v>697</v>
      </c>
      <c r="L27" t="s">
        <v>39</v>
      </c>
      <c r="M27" t="s">
        <v>160</v>
      </c>
      <c r="N27" t="s">
        <v>68</v>
      </c>
      <c r="O27" t="s">
        <v>160</v>
      </c>
      <c r="P27" t="s">
        <v>974</v>
      </c>
      <c r="Q27" s="36">
        <v>46269</v>
      </c>
      <c r="R27" t="s">
        <v>975</v>
      </c>
      <c r="S27" s="36">
        <v>46269</v>
      </c>
      <c r="T27" t="s">
        <v>975</v>
      </c>
      <c r="W27" s="36">
        <v>46269</v>
      </c>
      <c r="X27" t="s">
        <v>71</v>
      </c>
      <c r="Y27" t="s">
        <v>70</v>
      </c>
      <c r="Z27" t="s">
        <v>976</v>
      </c>
      <c r="AA27" t="s">
        <v>67</v>
      </c>
      <c r="AB27" t="s">
        <v>42</v>
      </c>
      <c r="AC27" t="s">
        <v>53</v>
      </c>
      <c r="AD27" s="36">
        <v>46269</v>
      </c>
      <c r="AE27" t="s">
        <v>71</v>
      </c>
      <c r="AF27" s="36">
        <v>46269</v>
      </c>
      <c r="AG27" t="s">
        <v>71</v>
      </c>
      <c r="AH27" s="43">
        <v>25</v>
      </c>
      <c r="AI27" s="43">
        <v>25</v>
      </c>
      <c r="AJ27" s="44">
        <v>25</v>
      </c>
      <c r="AK27" t="s">
        <v>697</v>
      </c>
      <c r="AM27" t="s">
        <v>697</v>
      </c>
      <c r="AN27" s="39" t="str">
        <f>VLOOKUP(M27,[1]municipios!$B:$D,3,0)</f>
        <v>PONTA PORA</v>
      </c>
      <c r="AO27" s="37">
        <f t="shared" ca="1" si="0"/>
        <v>22</v>
      </c>
      <c r="AP27" s="38" t="str">
        <f t="shared" ca="1" si="1"/>
        <v>30–50 dias</v>
      </c>
      <c r="AQ27" s="39" t="str">
        <f t="shared" ca="1" si="2"/>
        <v>Dentro</v>
      </c>
      <c r="AR27" s="39" t="str">
        <f t="shared" ca="1" si="3"/>
        <v>Não risco</v>
      </c>
      <c r="AS27" s="37" t="e">
        <f t="shared" si="6"/>
        <v>#VALUE!</v>
      </c>
      <c r="AT27" s="39">
        <f t="shared" ca="1" si="4"/>
        <v>0</v>
      </c>
      <c r="AU27" s="47" t="str">
        <f>VLOOKUP(X27,'pontos focais'!C:D,2,0)</f>
        <v>Central do Cliente</v>
      </c>
      <c r="AV27" s="41">
        <f t="shared" si="5"/>
        <v>-46269</v>
      </c>
    </row>
    <row r="28" spans="1:48" x14ac:dyDescent="0.25">
      <c r="A28" t="s">
        <v>977</v>
      </c>
      <c r="B28" t="s">
        <v>53</v>
      </c>
      <c r="C28" t="s">
        <v>133</v>
      </c>
      <c r="D28" t="s">
        <v>118</v>
      </c>
      <c r="E28" s="36">
        <v>46266</v>
      </c>
      <c r="F28" t="s">
        <v>67</v>
      </c>
      <c r="G28" t="s">
        <v>111</v>
      </c>
      <c r="H28" t="s">
        <v>111</v>
      </c>
      <c r="I28" t="s">
        <v>697</v>
      </c>
      <c r="J28" t="s">
        <v>697</v>
      </c>
      <c r="K28" t="s">
        <v>697</v>
      </c>
      <c r="L28" t="s">
        <v>39</v>
      </c>
      <c r="M28" t="s">
        <v>160</v>
      </c>
      <c r="N28" t="s">
        <v>68</v>
      </c>
      <c r="O28" t="s">
        <v>160</v>
      </c>
      <c r="P28" t="s">
        <v>978</v>
      </c>
      <c r="Q28" s="36">
        <v>46269</v>
      </c>
      <c r="R28" t="s">
        <v>975</v>
      </c>
      <c r="S28" s="36">
        <v>46269</v>
      </c>
      <c r="T28" t="s">
        <v>975</v>
      </c>
      <c r="W28" s="36">
        <v>46269</v>
      </c>
      <c r="X28" t="s">
        <v>71</v>
      </c>
      <c r="Y28" t="s">
        <v>70</v>
      </c>
      <c r="Z28" t="s">
        <v>979</v>
      </c>
      <c r="AA28" t="s">
        <v>67</v>
      </c>
      <c r="AB28" t="s">
        <v>42</v>
      </c>
      <c r="AC28" t="s">
        <v>53</v>
      </c>
      <c r="AD28" s="36">
        <v>46269</v>
      </c>
      <c r="AE28" t="s">
        <v>71</v>
      </c>
      <c r="AF28" s="36">
        <v>46269</v>
      </c>
      <c r="AG28" t="s">
        <v>71</v>
      </c>
      <c r="AH28" s="43">
        <v>25</v>
      </c>
      <c r="AI28" s="43">
        <v>25</v>
      </c>
      <c r="AJ28" s="44">
        <v>25</v>
      </c>
      <c r="AK28" t="s">
        <v>697</v>
      </c>
      <c r="AM28" t="s">
        <v>697</v>
      </c>
      <c r="AN28" s="39" t="str">
        <f>VLOOKUP(M28,[1]municipios!$B:$D,3,0)</f>
        <v>PONTA PORA</v>
      </c>
      <c r="AO28" s="37">
        <f t="shared" ca="1" si="0"/>
        <v>22</v>
      </c>
      <c r="AP28" s="38" t="str">
        <f t="shared" ca="1" si="1"/>
        <v>30–50 dias</v>
      </c>
      <c r="AQ28" s="39" t="str">
        <f t="shared" ca="1" si="2"/>
        <v>Dentro</v>
      </c>
      <c r="AR28" s="39" t="str">
        <f t="shared" ca="1" si="3"/>
        <v>Não risco</v>
      </c>
      <c r="AS28" s="37" t="e">
        <f t="shared" si="6"/>
        <v>#VALUE!</v>
      </c>
      <c r="AT28" s="39">
        <f t="shared" ca="1" si="4"/>
        <v>0</v>
      </c>
      <c r="AU28" s="47" t="str">
        <f>VLOOKUP(X28,'pontos focais'!C:D,2,0)</f>
        <v>Central do Cliente</v>
      </c>
      <c r="AV28" s="41">
        <f t="shared" si="5"/>
        <v>-46269</v>
      </c>
    </row>
    <row r="29" spans="1:48" x14ac:dyDescent="0.25">
      <c r="A29" t="s">
        <v>980</v>
      </c>
      <c r="B29" t="s">
        <v>53</v>
      </c>
      <c r="C29" t="s">
        <v>133</v>
      </c>
      <c r="D29" t="s">
        <v>118</v>
      </c>
      <c r="E29" s="36">
        <v>46269</v>
      </c>
      <c r="F29" t="s">
        <v>44</v>
      </c>
      <c r="G29" t="s">
        <v>111</v>
      </c>
      <c r="H29" t="s">
        <v>111</v>
      </c>
      <c r="I29" t="s">
        <v>697</v>
      </c>
      <c r="J29" t="s">
        <v>981</v>
      </c>
      <c r="K29" t="s">
        <v>697</v>
      </c>
      <c r="L29" t="s">
        <v>64</v>
      </c>
      <c r="M29" t="s">
        <v>65</v>
      </c>
      <c r="N29" t="s">
        <v>80</v>
      </c>
      <c r="O29" t="s">
        <v>65</v>
      </c>
      <c r="P29" t="s">
        <v>982</v>
      </c>
      <c r="Q29" s="36">
        <v>46269</v>
      </c>
      <c r="R29" t="s">
        <v>983</v>
      </c>
      <c r="S29" s="36">
        <v>46269</v>
      </c>
      <c r="T29" t="s">
        <v>984</v>
      </c>
      <c r="W29" s="36">
        <v>46269</v>
      </c>
      <c r="X29" t="s">
        <v>71</v>
      </c>
      <c r="Y29" t="s">
        <v>70</v>
      </c>
      <c r="Z29" t="s">
        <v>985</v>
      </c>
      <c r="AA29" t="s">
        <v>44</v>
      </c>
      <c r="AB29" t="s">
        <v>42</v>
      </c>
      <c r="AC29" t="s">
        <v>53</v>
      </c>
      <c r="AD29" s="36">
        <v>46269</v>
      </c>
      <c r="AE29" t="s">
        <v>71</v>
      </c>
      <c r="AF29" s="36">
        <v>46269</v>
      </c>
      <c r="AG29" t="s">
        <v>71</v>
      </c>
      <c r="AH29" s="43">
        <v>100</v>
      </c>
      <c r="AI29" s="43">
        <v>100</v>
      </c>
      <c r="AJ29" s="44">
        <v>100</v>
      </c>
      <c r="AK29" t="s">
        <v>697</v>
      </c>
      <c r="AM29" t="s">
        <v>697</v>
      </c>
      <c r="AN29" s="39" t="str">
        <f>VLOOKUP(M29,[1]municipios!$B:$D,3,0)</f>
        <v>CAMPO GRANDE</v>
      </c>
      <c r="AO29" s="37">
        <f t="shared" ca="1" si="0"/>
        <v>19</v>
      </c>
      <c r="AP29" s="38" t="str">
        <f t="shared" ca="1" si="1"/>
        <v>30–50 dias</v>
      </c>
      <c r="AQ29" s="39" t="str">
        <f t="shared" ca="1" si="2"/>
        <v>Dentro</v>
      </c>
      <c r="AR29" s="39" t="str">
        <f t="shared" ca="1" si="3"/>
        <v>Não risco</v>
      </c>
      <c r="AS29" s="37" t="e">
        <f t="shared" si="6"/>
        <v>#VALUE!</v>
      </c>
      <c r="AT29" s="39">
        <f t="shared" ca="1" si="4"/>
        <v>0</v>
      </c>
      <c r="AU29" s="47" t="str">
        <f>VLOOKUP(X29,'pontos focais'!C:D,2,0)</f>
        <v>Central do Cliente</v>
      </c>
      <c r="AV29" s="41">
        <f t="shared" si="5"/>
        <v>-46269</v>
      </c>
    </row>
    <row r="30" spans="1:48" x14ac:dyDescent="0.25">
      <c r="A30" t="s">
        <v>1008</v>
      </c>
      <c r="B30" t="s">
        <v>53</v>
      </c>
      <c r="C30" t="s">
        <v>43</v>
      </c>
      <c r="D30" t="s">
        <v>35</v>
      </c>
      <c r="E30" s="36">
        <v>46269</v>
      </c>
      <c r="F30" t="s">
        <v>44</v>
      </c>
      <c r="G30" t="s">
        <v>111</v>
      </c>
      <c r="H30" t="s">
        <v>111</v>
      </c>
      <c r="I30" t="s">
        <v>697</v>
      </c>
      <c r="J30" t="s">
        <v>697</v>
      </c>
      <c r="K30" t="s">
        <v>1009</v>
      </c>
      <c r="L30" t="s">
        <v>39</v>
      </c>
      <c r="M30" t="s">
        <v>1010</v>
      </c>
      <c r="N30" t="s">
        <v>80</v>
      </c>
      <c r="O30" t="s">
        <v>1010</v>
      </c>
      <c r="P30" t="s">
        <v>1045</v>
      </c>
      <c r="Q30" s="36">
        <v>46269</v>
      </c>
      <c r="R30" t="s">
        <v>1011</v>
      </c>
      <c r="S30" s="36">
        <v>46280</v>
      </c>
      <c r="T30" t="s">
        <v>1046</v>
      </c>
      <c r="U30" s="36">
        <v>46300</v>
      </c>
      <c r="X30" t="s">
        <v>72</v>
      </c>
      <c r="Y30" t="s">
        <v>94</v>
      </c>
      <c r="Z30" t="s">
        <v>1012</v>
      </c>
      <c r="AA30" t="s">
        <v>44</v>
      </c>
      <c r="AB30" t="s">
        <v>42</v>
      </c>
      <c r="AC30" t="s">
        <v>53</v>
      </c>
      <c r="AD30" s="36">
        <v>46280</v>
      </c>
      <c r="AE30" t="s">
        <v>72</v>
      </c>
      <c r="AF30" s="36">
        <v>46280</v>
      </c>
      <c r="AG30" t="s">
        <v>72</v>
      </c>
      <c r="AH30" s="43">
        <v>100</v>
      </c>
      <c r="AI30" s="43">
        <v>100</v>
      </c>
      <c r="AJ30" s="44">
        <v>100</v>
      </c>
      <c r="AK30" t="s">
        <v>697</v>
      </c>
      <c r="AM30" t="s">
        <v>697</v>
      </c>
      <c r="AN30" s="39" t="str">
        <f>VLOOKUP(M30,[1]municipios!$B:$D,3,0)</f>
        <v>NOVA ANDRADINA</v>
      </c>
      <c r="AO30" s="37">
        <f t="shared" ca="1" si="0"/>
        <v>19</v>
      </c>
      <c r="AP30" s="38" t="str">
        <f t="shared" ca="1" si="1"/>
        <v>30–50 dias</v>
      </c>
      <c r="AQ30" s="39" t="str">
        <f t="shared" ca="1" si="2"/>
        <v>Dentro</v>
      </c>
      <c r="AR30" s="39" t="str">
        <f t="shared" ca="1" si="3"/>
        <v>Risco</v>
      </c>
      <c r="AS30" s="37" t="e">
        <f t="shared" si="6"/>
        <v>#VALUE!</v>
      </c>
      <c r="AT30" s="39">
        <f t="shared" ca="1" si="4"/>
        <v>11</v>
      </c>
      <c r="AU30" s="47" t="str">
        <f>VLOOKUP(X30,'pontos focais'!C:D,2,0)</f>
        <v>DCMD Programação de Obra</v>
      </c>
      <c r="AV30" s="41">
        <f t="shared" si="5"/>
        <v>31</v>
      </c>
    </row>
    <row r="31" spans="1:48" x14ac:dyDescent="0.25">
      <c r="A31" t="s">
        <v>1047</v>
      </c>
      <c r="B31" t="s">
        <v>53</v>
      </c>
      <c r="C31" t="s">
        <v>43</v>
      </c>
      <c r="D31" t="s">
        <v>35</v>
      </c>
      <c r="E31" s="36">
        <v>46161.041666666664</v>
      </c>
      <c r="F31" t="s">
        <v>44</v>
      </c>
      <c r="G31" t="s">
        <v>37</v>
      </c>
      <c r="H31" t="s">
        <v>37</v>
      </c>
      <c r="I31" t="s">
        <v>697</v>
      </c>
      <c r="J31" t="s">
        <v>697</v>
      </c>
      <c r="K31" t="s">
        <v>710</v>
      </c>
      <c r="L31" t="s">
        <v>39</v>
      </c>
      <c r="M31" t="s">
        <v>120</v>
      </c>
      <c r="N31" t="s">
        <v>102</v>
      </c>
      <c r="O31" t="s">
        <v>120</v>
      </c>
      <c r="P31" t="s">
        <v>1048</v>
      </c>
      <c r="Q31" s="36">
        <v>46274</v>
      </c>
      <c r="R31" t="s">
        <v>1049</v>
      </c>
      <c r="S31" s="36">
        <v>46282</v>
      </c>
      <c r="V31" s="36">
        <v>46307</v>
      </c>
      <c r="X31" t="s">
        <v>72</v>
      </c>
      <c r="Y31" t="s">
        <v>94</v>
      </c>
      <c r="Z31" t="s">
        <v>1050</v>
      </c>
      <c r="AA31" t="s">
        <v>44</v>
      </c>
      <c r="AB31" t="s">
        <v>42</v>
      </c>
      <c r="AC31" t="s">
        <v>53</v>
      </c>
      <c r="AD31" s="36">
        <v>46282</v>
      </c>
      <c r="AE31" t="s">
        <v>72</v>
      </c>
      <c r="AF31" s="36">
        <v>46282</v>
      </c>
      <c r="AG31" t="s">
        <v>72</v>
      </c>
      <c r="AH31" s="43">
        <v>100</v>
      </c>
      <c r="AI31" s="43">
        <v>100</v>
      </c>
      <c r="AJ31" s="44">
        <v>100</v>
      </c>
      <c r="AK31" t="s">
        <v>697</v>
      </c>
      <c r="AM31" t="s">
        <v>697</v>
      </c>
      <c r="AN31" s="39" t="str">
        <f>VLOOKUP(M31,[1]municipios!$B:$D,3,0)</f>
        <v>NOVA ANDRADINA</v>
      </c>
      <c r="AO31" s="37">
        <f t="shared" ca="1" si="0"/>
        <v>126.95833333333576</v>
      </c>
      <c r="AP31" s="38" t="str">
        <f t="shared" ca="1" si="1"/>
        <v>&gt;50 dias</v>
      </c>
      <c r="AQ31" s="39" t="str">
        <f t="shared" ca="1" si="2"/>
        <v>Dentro</v>
      </c>
      <c r="AR31" s="39" t="str">
        <f t="shared" ca="1" si="3"/>
        <v>Não risco</v>
      </c>
      <c r="AS31" s="37" t="e">
        <f t="shared" si="6"/>
        <v>#VALUE!</v>
      </c>
      <c r="AT31" s="39">
        <f t="shared" ca="1" si="4"/>
        <v>8</v>
      </c>
      <c r="AU31" s="47" t="str">
        <f>VLOOKUP(X31,'pontos focais'!C:D,2,0)</f>
        <v>DCMD Programação de Obra</v>
      </c>
      <c r="AV31" s="41">
        <f t="shared" si="5"/>
        <v>-46274</v>
      </c>
    </row>
    <row r="32" spans="1:48" x14ac:dyDescent="0.25">
      <c r="A32" t="s">
        <v>1051</v>
      </c>
      <c r="B32" t="s">
        <v>53</v>
      </c>
      <c r="C32" t="s">
        <v>43</v>
      </c>
      <c r="D32" t="s">
        <v>35</v>
      </c>
      <c r="E32" s="36">
        <v>46274</v>
      </c>
      <c r="F32" t="s">
        <v>44</v>
      </c>
      <c r="G32" t="s">
        <v>37</v>
      </c>
      <c r="H32" t="s">
        <v>156</v>
      </c>
      <c r="I32" t="s">
        <v>1052</v>
      </c>
      <c r="J32" t="s">
        <v>697</v>
      </c>
      <c r="K32" t="s">
        <v>1053</v>
      </c>
      <c r="L32" t="s">
        <v>39</v>
      </c>
      <c r="M32" t="s">
        <v>1054</v>
      </c>
      <c r="N32" t="s">
        <v>80</v>
      </c>
      <c r="O32" t="s">
        <v>1054</v>
      </c>
      <c r="P32" t="s">
        <v>1055</v>
      </c>
      <c r="Q32" s="36">
        <v>46275</v>
      </c>
      <c r="R32" t="s">
        <v>1056</v>
      </c>
      <c r="U32" s="36">
        <v>46285</v>
      </c>
      <c r="X32" t="s">
        <v>72</v>
      </c>
      <c r="Y32" t="s">
        <v>697</v>
      </c>
      <c r="Z32" t="s">
        <v>1057</v>
      </c>
      <c r="AA32" t="s">
        <v>44</v>
      </c>
      <c r="AB32" t="s">
        <v>42</v>
      </c>
      <c r="AC32" t="s">
        <v>53</v>
      </c>
      <c r="AD32" s="36">
        <v>46276</v>
      </c>
      <c r="AE32" t="s">
        <v>71</v>
      </c>
      <c r="AF32" s="36">
        <v>46276</v>
      </c>
      <c r="AG32" t="s">
        <v>71</v>
      </c>
      <c r="AH32" s="43">
        <v>100</v>
      </c>
      <c r="AI32" s="43">
        <v>100</v>
      </c>
      <c r="AJ32" s="44">
        <v>50</v>
      </c>
      <c r="AK32" t="s">
        <v>654</v>
      </c>
      <c r="AM32" t="s">
        <v>653</v>
      </c>
      <c r="AN32" s="39" t="str">
        <f>VLOOKUP(M32,[1]municipios!$B:$D,3,0)</f>
        <v>RIO BRILHANTE</v>
      </c>
      <c r="AO32" s="37">
        <f t="shared" ca="1" si="0"/>
        <v>14</v>
      </c>
      <c r="AP32" s="38" t="str">
        <f t="shared" ca="1" si="1"/>
        <v>6–15 dias</v>
      </c>
      <c r="AQ32" s="39" t="str">
        <f t="shared" ca="1" si="2"/>
        <v>Fora</v>
      </c>
      <c r="AR32" s="39" t="str">
        <f t="shared" ca="1" si="3"/>
        <v>Risco</v>
      </c>
      <c r="AS32" s="37" t="e">
        <f t="shared" si="6"/>
        <v>#VALUE!</v>
      </c>
      <c r="AT32" s="39">
        <f t="shared" ca="1" si="4"/>
        <v>13</v>
      </c>
      <c r="AU32" s="47" t="str">
        <f>VLOOKUP(X32,'pontos focais'!C:D,2,0)</f>
        <v>DCMD Programação de Obra</v>
      </c>
      <c r="AV32" s="41">
        <f t="shared" si="5"/>
        <v>10</v>
      </c>
    </row>
    <row r="33" spans="1:48" x14ac:dyDescent="0.25">
      <c r="A33" t="s">
        <v>1058</v>
      </c>
      <c r="B33" t="s">
        <v>53</v>
      </c>
      <c r="C33" t="s">
        <v>43</v>
      </c>
      <c r="D33" t="s">
        <v>35</v>
      </c>
      <c r="E33" s="36">
        <v>46280</v>
      </c>
      <c r="F33" t="s">
        <v>44</v>
      </c>
      <c r="G33" t="s">
        <v>37</v>
      </c>
      <c r="H33" t="s">
        <v>156</v>
      </c>
      <c r="I33" t="s">
        <v>1059</v>
      </c>
      <c r="J33" t="s">
        <v>697</v>
      </c>
      <c r="K33" t="s">
        <v>1060</v>
      </c>
      <c r="L33" t="s">
        <v>39</v>
      </c>
      <c r="M33" t="s">
        <v>45</v>
      </c>
      <c r="N33" t="s">
        <v>80</v>
      </c>
      <c r="O33" t="s">
        <v>45</v>
      </c>
      <c r="P33" t="s">
        <v>1061</v>
      </c>
      <c r="Q33" s="36">
        <v>46279</v>
      </c>
      <c r="R33" t="s">
        <v>1062</v>
      </c>
      <c r="U33" s="36">
        <v>46300</v>
      </c>
      <c r="X33" t="s">
        <v>72</v>
      </c>
      <c r="Y33" t="s">
        <v>697</v>
      </c>
      <c r="Z33" t="s">
        <v>1057</v>
      </c>
      <c r="AA33" t="s">
        <v>44</v>
      </c>
      <c r="AB33" t="s">
        <v>42</v>
      </c>
      <c r="AC33" t="s">
        <v>53</v>
      </c>
      <c r="AD33" s="36">
        <v>46280</v>
      </c>
      <c r="AE33" t="s">
        <v>71</v>
      </c>
      <c r="AF33" s="36">
        <v>46280</v>
      </c>
      <c r="AG33" t="s">
        <v>71</v>
      </c>
      <c r="AH33" s="43">
        <v>100</v>
      </c>
      <c r="AI33" s="43">
        <v>100</v>
      </c>
      <c r="AJ33" s="44">
        <v>50</v>
      </c>
      <c r="AK33" t="s">
        <v>654</v>
      </c>
      <c r="AM33" t="s">
        <v>653</v>
      </c>
      <c r="AN33" s="39" t="str">
        <f>VLOOKUP(M33,[1]municipios!$B:$D,3,0)</f>
        <v>DOURADOS</v>
      </c>
      <c r="AO33" s="37">
        <f t="shared" ca="1" si="0"/>
        <v>8</v>
      </c>
      <c r="AP33" s="38" t="str">
        <f t="shared" ca="1" si="1"/>
        <v>6–15 dias</v>
      </c>
      <c r="AQ33" s="39" t="str">
        <f t="shared" ca="1" si="2"/>
        <v>Dentro</v>
      </c>
      <c r="AR33" s="39" t="str">
        <f t="shared" ca="1" si="3"/>
        <v>Risco</v>
      </c>
      <c r="AS33" s="37" t="e">
        <f t="shared" si="6"/>
        <v>#VALUE!</v>
      </c>
      <c r="AT33" s="39">
        <f t="shared" ca="1" si="4"/>
        <v>9</v>
      </c>
      <c r="AU33" s="47" t="str">
        <f>VLOOKUP(X33,'pontos focais'!C:D,2,0)</f>
        <v>DCMD Programação de Obra</v>
      </c>
      <c r="AV33" s="41">
        <f t="shared" si="5"/>
        <v>21</v>
      </c>
    </row>
    <row r="34" spans="1:48" x14ac:dyDescent="0.25">
      <c r="A34" t="s">
        <v>1063</v>
      </c>
      <c r="B34" t="s">
        <v>53</v>
      </c>
      <c r="C34" t="s">
        <v>54</v>
      </c>
      <c r="D34" t="s">
        <v>55</v>
      </c>
      <c r="E34" s="36">
        <v>46281</v>
      </c>
      <c r="F34" t="s">
        <v>44</v>
      </c>
      <c r="G34" t="s">
        <v>37</v>
      </c>
      <c r="H34" t="s">
        <v>156</v>
      </c>
      <c r="I34" t="s">
        <v>1064</v>
      </c>
      <c r="J34" t="s">
        <v>1065</v>
      </c>
      <c r="K34" t="s">
        <v>697</v>
      </c>
      <c r="L34" t="s">
        <v>64</v>
      </c>
      <c r="M34" t="s">
        <v>65</v>
      </c>
      <c r="N34" t="s">
        <v>116</v>
      </c>
      <c r="O34" t="s">
        <v>65</v>
      </c>
      <c r="P34" t="s">
        <v>1066</v>
      </c>
      <c r="Q34" s="36">
        <v>46281</v>
      </c>
      <c r="R34" t="s">
        <v>1067</v>
      </c>
      <c r="U34" s="36">
        <v>46281</v>
      </c>
      <c r="X34" s="59" t="s">
        <v>1068</v>
      </c>
      <c r="Y34" t="s">
        <v>697</v>
      </c>
      <c r="Z34" t="s">
        <v>1069</v>
      </c>
      <c r="AA34" t="s">
        <v>44</v>
      </c>
      <c r="AB34" t="s">
        <v>42</v>
      </c>
      <c r="AC34" t="s">
        <v>53</v>
      </c>
      <c r="AD34" s="36">
        <v>46281</v>
      </c>
      <c r="AE34" t="s">
        <v>71</v>
      </c>
      <c r="AF34" s="36">
        <v>46281</v>
      </c>
      <c r="AG34" t="s">
        <v>71</v>
      </c>
      <c r="AH34" s="43">
        <v>100</v>
      </c>
      <c r="AI34" s="43">
        <v>100</v>
      </c>
      <c r="AJ34" s="44">
        <v>50</v>
      </c>
      <c r="AK34" t="s">
        <v>1070</v>
      </c>
      <c r="AM34" t="s">
        <v>1071</v>
      </c>
      <c r="AN34" s="39" t="str">
        <f>VLOOKUP(M34,[1]municipios!$B:$D,3,0)</f>
        <v>CAMPO GRANDE</v>
      </c>
      <c r="AO34" s="37">
        <f t="shared" ca="1" si="0"/>
        <v>7</v>
      </c>
      <c r="AP34" s="38" t="str">
        <f t="shared" ca="1" si="1"/>
        <v>6–15 dias</v>
      </c>
      <c r="AQ34" s="39" t="str">
        <f t="shared" ca="1" si="2"/>
        <v>Fora</v>
      </c>
      <c r="AR34" s="39" t="str">
        <f t="shared" ca="1" si="3"/>
        <v>Risco</v>
      </c>
      <c r="AS34" s="37" t="e">
        <f t="shared" si="6"/>
        <v>#VALUE!</v>
      </c>
      <c r="AT34" s="39">
        <f t="shared" ca="1" si="4"/>
        <v>7</v>
      </c>
      <c r="AU34" s="47" t="str">
        <f>VLOOKUP(X34,'pontos focais'!C:D,2,0)</f>
        <v>DECP - Ligação GA</v>
      </c>
      <c r="AV34" s="41">
        <f t="shared" si="5"/>
        <v>0</v>
      </c>
    </row>
    <row r="35" spans="1:48" x14ac:dyDescent="0.25">
      <c r="A35" t="s">
        <v>709</v>
      </c>
      <c r="B35" t="s">
        <v>53</v>
      </c>
      <c r="C35" t="s">
        <v>43</v>
      </c>
      <c r="D35" t="s">
        <v>35</v>
      </c>
      <c r="E35" s="36">
        <v>46150</v>
      </c>
      <c r="F35" t="s">
        <v>44</v>
      </c>
      <c r="G35" t="s">
        <v>111</v>
      </c>
      <c r="H35" t="s">
        <v>111</v>
      </c>
      <c r="I35" t="s">
        <v>697</v>
      </c>
      <c r="J35" t="s">
        <v>697</v>
      </c>
      <c r="K35" t="s">
        <v>710</v>
      </c>
      <c r="L35" t="s">
        <v>39</v>
      </c>
      <c r="M35" t="s">
        <v>120</v>
      </c>
      <c r="N35" t="s">
        <v>102</v>
      </c>
      <c r="O35" t="s">
        <v>120</v>
      </c>
      <c r="P35" t="s">
        <v>545</v>
      </c>
      <c r="Q35" s="36">
        <v>46237</v>
      </c>
      <c r="R35" t="s">
        <v>157</v>
      </c>
      <c r="S35" s="36">
        <v>46247</v>
      </c>
      <c r="U35" s="36">
        <v>46234</v>
      </c>
      <c r="X35" t="s">
        <v>72</v>
      </c>
      <c r="Y35" t="s">
        <v>316</v>
      </c>
      <c r="Z35" t="s">
        <v>158</v>
      </c>
      <c r="AA35" t="s">
        <v>44</v>
      </c>
      <c r="AB35" t="s">
        <v>42</v>
      </c>
      <c r="AC35" t="s">
        <v>53</v>
      </c>
      <c r="AD35" s="36">
        <v>46268</v>
      </c>
      <c r="AE35" t="s">
        <v>93</v>
      </c>
      <c r="AF35" s="36">
        <v>46247</v>
      </c>
      <c r="AG35" t="s">
        <v>155</v>
      </c>
      <c r="AH35" s="43">
        <v>100</v>
      </c>
      <c r="AI35" s="43">
        <v>100</v>
      </c>
      <c r="AJ35" s="44">
        <v>75</v>
      </c>
      <c r="AK35" t="s">
        <v>697</v>
      </c>
      <c r="AM35" t="s">
        <v>697</v>
      </c>
      <c r="AN35" s="39" t="str">
        <f>VLOOKUP(M35,[1]municipios!$B:$D,3,0)</f>
        <v>NOVA ANDRADINA</v>
      </c>
      <c r="AO35" s="37">
        <f t="shared" ca="1" si="0"/>
        <v>138</v>
      </c>
      <c r="AP35" s="38" t="str">
        <f t="shared" ca="1" si="1"/>
        <v>&gt;50 dias</v>
      </c>
      <c r="AQ35" s="39" t="str">
        <f t="shared" ca="1" si="2"/>
        <v>Fora</v>
      </c>
      <c r="AR35" s="39" t="str">
        <f t="shared" ca="1" si="3"/>
        <v>Não risco</v>
      </c>
      <c r="AS35" s="37" t="e">
        <f t="shared" si="6"/>
        <v>#VALUE!</v>
      </c>
      <c r="AT35" s="39">
        <f t="shared" ca="1" si="4"/>
        <v>10</v>
      </c>
      <c r="AU35" s="47" t="str">
        <f>VLOOKUP(X35,'pontos focais'!C:D,2,0)</f>
        <v>DCMD Programação de Obra</v>
      </c>
      <c r="AV35" s="41">
        <f t="shared" si="5"/>
        <v>-3</v>
      </c>
    </row>
    <row r="36" spans="1:48" x14ac:dyDescent="0.25">
      <c r="A36" t="s">
        <v>709</v>
      </c>
      <c r="B36" t="s">
        <v>53</v>
      </c>
      <c r="C36" t="s">
        <v>43</v>
      </c>
      <c r="D36" t="s">
        <v>55</v>
      </c>
      <c r="E36" s="36">
        <v>46150</v>
      </c>
      <c r="F36" t="s">
        <v>44</v>
      </c>
      <c r="G36" t="s">
        <v>111</v>
      </c>
      <c r="H36" t="s">
        <v>111</v>
      </c>
      <c r="I36" t="s">
        <v>697</v>
      </c>
      <c r="J36" t="s">
        <v>697</v>
      </c>
      <c r="K36" t="s">
        <v>697</v>
      </c>
      <c r="L36" t="s">
        <v>39</v>
      </c>
      <c r="M36" t="s">
        <v>120</v>
      </c>
      <c r="N36" t="s">
        <v>102</v>
      </c>
      <c r="O36" t="s">
        <v>120</v>
      </c>
      <c r="P36" t="s">
        <v>545</v>
      </c>
      <c r="Q36" s="36">
        <v>46195</v>
      </c>
      <c r="R36" t="s">
        <v>159</v>
      </c>
      <c r="S36" s="36">
        <v>46259</v>
      </c>
      <c r="T36" t="s">
        <v>711</v>
      </c>
      <c r="W36" s="36">
        <v>46259</v>
      </c>
      <c r="X36" t="s">
        <v>44</v>
      </c>
      <c r="Y36" t="s">
        <v>70</v>
      </c>
      <c r="Z36" t="s">
        <v>158</v>
      </c>
      <c r="AA36" t="s">
        <v>44</v>
      </c>
      <c r="AB36" t="s">
        <v>42</v>
      </c>
      <c r="AC36" t="s">
        <v>53</v>
      </c>
      <c r="AD36" s="36">
        <v>46268</v>
      </c>
      <c r="AE36" t="s">
        <v>93</v>
      </c>
      <c r="AF36" s="36">
        <v>46259</v>
      </c>
      <c r="AG36" t="s">
        <v>71</v>
      </c>
      <c r="AH36" s="43">
        <v>100</v>
      </c>
      <c r="AI36" s="43">
        <v>100</v>
      </c>
      <c r="AJ36" s="44">
        <v>100</v>
      </c>
      <c r="AK36" t="s">
        <v>697</v>
      </c>
      <c r="AM36" t="s">
        <v>697</v>
      </c>
      <c r="AN36" s="39" t="str">
        <f>VLOOKUP(M36,[1]municipios!$B:$D,3,0)</f>
        <v>NOVA ANDRADINA</v>
      </c>
      <c r="AO36" s="37">
        <f t="shared" ca="1" si="0"/>
        <v>138</v>
      </c>
      <c r="AP36" s="38" t="str">
        <f t="shared" ca="1" si="1"/>
        <v>&gt;50 dias</v>
      </c>
      <c r="AQ36" s="39" t="str">
        <f t="shared" ca="1" si="2"/>
        <v>Dentro</v>
      </c>
      <c r="AR36" s="39" t="str">
        <f t="shared" ca="1" si="3"/>
        <v>Não risco</v>
      </c>
      <c r="AS36" s="37" t="e">
        <f t="shared" si="6"/>
        <v>#VALUE!</v>
      </c>
      <c r="AT36" s="39">
        <f t="shared" ca="1" si="4"/>
        <v>64</v>
      </c>
      <c r="AU36" s="47" t="str">
        <f>VLOOKUP(X36,'pontos focais'!C:D,2,0)</f>
        <v>Institucional</v>
      </c>
      <c r="AV36" s="41">
        <f t="shared" si="5"/>
        <v>-46195</v>
      </c>
    </row>
    <row r="37" spans="1:48" x14ac:dyDescent="0.25">
      <c r="A37" t="s">
        <v>701</v>
      </c>
      <c r="B37" t="s">
        <v>53</v>
      </c>
      <c r="C37" t="s">
        <v>74</v>
      </c>
      <c r="D37" t="s">
        <v>35</v>
      </c>
      <c r="E37" s="36">
        <v>46084</v>
      </c>
      <c r="F37" t="s">
        <v>113</v>
      </c>
      <c r="G37" t="s">
        <v>37</v>
      </c>
      <c r="H37" t="s">
        <v>111</v>
      </c>
      <c r="I37" t="s">
        <v>697</v>
      </c>
      <c r="J37" t="s">
        <v>702</v>
      </c>
      <c r="K37" t="s">
        <v>697</v>
      </c>
      <c r="L37" t="s">
        <v>57</v>
      </c>
      <c r="M37" t="s">
        <v>163</v>
      </c>
      <c r="N37" t="s">
        <v>102</v>
      </c>
      <c r="O37" t="s">
        <v>163</v>
      </c>
      <c r="P37" t="s">
        <v>164</v>
      </c>
      <c r="Q37" s="36">
        <v>46191</v>
      </c>
      <c r="R37" t="s">
        <v>165</v>
      </c>
      <c r="S37" s="36">
        <v>46269</v>
      </c>
      <c r="T37" t="s">
        <v>986</v>
      </c>
      <c r="U37" s="36">
        <v>46234</v>
      </c>
      <c r="W37" s="36">
        <v>46269</v>
      </c>
      <c r="X37" t="s">
        <v>77</v>
      </c>
      <c r="Y37" t="s">
        <v>316</v>
      </c>
      <c r="AA37" t="s">
        <v>113</v>
      </c>
      <c r="AB37" t="s">
        <v>42</v>
      </c>
      <c r="AC37" t="s">
        <v>53</v>
      </c>
      <c r="AD37" s="36">
        <v>46269</v>
      </c>
      <c r="AE37" t="s">
        <v>155</v>
      </c>
      <c r="AF37" s="36">
        <v>46269</v>
      </c>
      <c r="AG37" t="s">
        <v>155</v>
      </c>
      <c r="AH37" s="43">
        <v>100</v>
      </c>
      <c r="AI37" s="43">
        <v>100</v>
      </c>
      <c r="AJ37" s="44">
        <v>100</v>
      </c>
      <c r="AK37" t="s">
        <v>697</v>
      </c>
      <c r="AM37" t="s">
        <v>697</v>
      </c>
      <c r="AN37" s="39" t="str">
        <f>VLOOKUP(M37,[1]municipios!$B:$D,3,0)</f>
        <v>CORUMBA</v>
      </c>
      <c r="AO37" s="37">
        <f t="shared" ca="1" si="0"/>
        <v>204</v>
      </c>
      <c r="AP37" s="38" t="str">
        <f t="shared" ca="1" si="1"/>
        <v>&gt;50 dias</v>
      </c>
      <c r="AQ37" s="39" t="str">
        <f t="shared" ca="1" si="2"/>
        <v>Fora</v>
      </c>
      <c r="AR37" s="39" t="str">
        <f t="shared" ca="1" si="3"/>
        <v>Não risco</v>
      </c>
      <c r="AS37" s="37" t="e">
        <f t="shared" si="6"/>
        <v>#VALUE!</v>
      </c>
      <c r="AT37" s="39">
        <f t="shared" ca="1" si="4"/>
        <v>78</v>
      </c>
      <c r="AU37" s="47" t="str">
        <f>VLOOKUP(X37,'pontos focais'!C:D,2,0)</f>
        <v>DCMD Manutenção</v>
      </c>
      <c r="AV37" s="41">
        <f t="shared" si="5"/>
        <v>43</v>
      </c>
    </row>
    <row r="38" spans="1:48" x14ac:dyDescent="0.25">
      <c r="A38" t="s">
        <v>701</v>
      </c>
      <c r="B38" t="s">
        <v>53</v>
      </c>
      <c r="C38" t="s">
        <v>34</v>
      </c>
      <c r="D38" t="s">
        <v>78</v>
      </c>
      <c r="E38" s="36">
        <v>46084</v>
      </c>
      <c r="F38" t="s">
        <v>113</v>
      </c>
      <c r="G38" t="s">
        <v>37</v>
      </c>
      <c r="H38" t="s">
        <v>37</v>
      </c>
      <c r="I38" t="s">
        <v>697</v>
      </c>
      <c r="J38" t="s">
        <v>702</v>
      </c>
      <c r="K38" t="s">
        <v>697</v>
      </c>
      <c r="L38" t="s">
        <v>57</v>
      </c>
      <c r="M38" t="s">
        <v>163</v>
      </c>
      <c r="N38" t="s">
        <v>102</v>
      </c>
      <c r="O38" t="s">
        <v>163</v>
      </c>
      <c r="P38" t="s">
        <v>164</v>
      </c>
      <c r="Q38" s="36">
        <v>46233</v>
      </c>
      <c r="R38" t="s">
        <v>966</v>
      </c>
      <c r="S38" s="36">
        <v>46269</v>
      </c>
      <c r="X38" t="s">
        <v>108</v>
      </c>
      <c r="Y38" t="s">
        <v>316</v>
      </c>
      <c r="AA38" t="s">
        <v>113</v>
      </c>
      <c r="AB38" t="s">
        <v>42</v>
      </c>
      <c r="AC38" t="s">
        <v>53</v>
      </c>
      <c r="AD38" s="36">
        <v>46269</v>
      </c>
      <c r="AE38" t="s">
        <v>155</v>
      </c>
      <c r="AF38" s="36">
        <v>46269</v>
      </c>
      <c r="AG38" t="s">
        <v>155</v>
      </c>
      <c r="AH38" s="43">
        <v>100</v>
      </c>
      <c r="AI38" s="43">
        <v>100</v>
      </c>
      <c r="AJ38" s="44">
        <v>100</v>
      </c>
      <c r="AK38" t="s">
        <v>697</v>
      </c>
      <c r="AM38" t="s">
        <v>697</v>
      </c>
      <c r="AN38" s="39" t="str">
        <f>VLOOKUP(M38,[1]municipios!$B:$D,3,0)</f>
        <v>CORUMBA</v>
      </c>
      <c r="AO38" s="37">
        <f t="shared" ca="1" si="0"/>
        <v>204</v>
      </c>
      <c r="AP38" s="38" t="str">
        <f t="shared" ca="1" si="1"/>
        <v>&gt;50 dias</v>
      </c>
      <c r="AQ38" s="39" t="str">
        <f t="shared" ca="1" si="2"/>
        <v>Dentro</v>
      </c>
      <c r="AR38" s="39" t="str">
        <f t="shared" ca="1" si="3"/>
        <v>Não risco</v>
      </c>
      <c r="AS38" s="37" t="e">
        <f t="shared" si="6"/>
        <v>#VALUE!</v>
      </c>
      <c r="AT38" s="39">
        <f t="shared" ca="1" si="4"/>
        <v>36</v>
      </c>
      <c r="AU38" s="47" t="str">
        <f>VLOOKUP(X38,'pontos focais'!C:D,2,0)</f>
        <v>DEOP Qualidade</v>
      </c>
      <c r="AV38" s="41">
        <f t="shared" si="5"/>
        <v>-46233</v>
      </c>
    </row>
    <row r="39" spans="1:48" x14ac:dyDescent="0.25">
      <c r="A39" t="s">
        <v>701</v>
      </c>
      <c r="B39" t="s">
        <v>53</v>
      </c>
      <c r="C39" t="s">
        <v>34</v>
      </c>
      <c r="D39" t="s">
        <v>55</v>
      </c>
      <c r="E39" s="36">
        <v>46084</v>
      </c>
      <c r="F39" t="s">
        <v>113</v>
      </c>
      <c r="G39" t="s">
        <v>37</v>
      </c>
      <c r="H39" t="s">
        <v>111</v>
      </c>
      <c r="I39" t="s">
        <v>697</v>
      </c>
      <c r="J39" t="s">
        <v>702</v>
      </c>
      <c r="K39" t="s">
        <v>697</v>
      </c>
      <c r="L39" t="s">
        <v>57</v>
      </c>
      <c r="M39" t="s">
        <v>163</v>
      </c>
      <c r="N39" t="s">
        <v>102</v>
      </c>
      <c r="O39" t="s">
        <v>163</v>
      </c>
      <c r="P39" t="s">
        <v>164</v>
      </c>
      <c r="Q39" s="36">
        <v>46241</v>
      </c>
      <c r="R39" t="s">
        <v>637</v>
      </c>
      <c r="S39" s="36">
        <v>46255</v>
      </c>
      <c r="T39" t="s">
        <v>650</v>
      </c>
      <c r="V39" s="36">
        <v>46252</v>
      </c>
      <c r="W39" s="36">
        <v>46255</v>
      </c>
      <c r="X39" t="s">
        <v>36</v>
      </c>
      <c r="Y39" t="s">
        <v>651</v>
      </c>
      <c r="AA39" t="s">
        <v>113</v>
      </c>
      <c r="AB39" t="s">
        <v>42</v>
      </c>
      <c r="AC39" t="s">
        <v>53</v>
      </c>
      <c r="AD39" s="36">
        <v>46259</v>
      </c>
      <c r="AE39" t="s">
        <v>93</v>
      </c>
      <c r="AF39" s="36">
        <v>46255</v>
      </c>
      <c r="AG39" t="s">
        <v>36</v>
      </c>
      <c r="AH39" s="43">
        <v>100</v>
      </c>
      <c r="AI39" s="43">
        <v>100</v>
      </c>
      <c r="AJ39" s="44">
        <v>100</v>
      </c>
      <c r="AK39" t="s">
        <v>697</v>
      </c>
      <c r="AM39" t="s">
        <v>697</v>
      </c>
      <c r="AN39" s="39" t="str">
        <f>VLOOKUP(M39,[1]municipios!$B:$D,3,0)</f>
        <v>CORUMBA</v>
      </c>
      <c r="AO39" s="37">
        <f t="shared" ca="1" si="0"/>
        <v>204</v>
      </c>
      <c r="AP39" s="38" t="str">
        <f t="shared" ca="1" si="1"/>
        <v>&gt;50 dias</v>
      </c>
      <c r="AQ39" s="39" t="str">
        <f t="shared" ca="1" si="2"/>
        <v>Dentro</v>
      </c>
      <c r="AR39" s="39" t="str">
        <f t="shared" ca="1" si="3"/>
        <v>Não risco</v>
      </c>
      <c r="AS39" s="37" t="e">
        <f t="shared" si="6"/>
        <v>#VALUE!</v>
      </c>
      <c r="AT39" s="39">
        <f t="shared" ca="1" si="4"/>
        <v>14</v>
      </c>
      <c r="AU39" s="47" t="str">
        <f>VLOOKUP(X39,'pontos focais'!C:D,2,0)</f>
        <v>DESC Agentes de Relacionamento</v>
      </c>
      <c r="AV39" s="41">
        <f t="shared" si="5"/>
        <v>-46241</v>
      </c>
    </row>
    <row r="40" spans="1:48" x14ac:dyDescent="0.25">
      <c r="A40" t="s">
        <v>701</v>
      </c>
      <c r="B40" t="s">
        <v>53</v>
      </c>
      <c r="C40" t="s">
        <v>103</v>
      </c>
      <c r="D40" t="s">
        <v>55</v>
      </c>
      <c r="E40" s="36">
        <v>46084</v>
      </c>
      <c r="F40" t="s">
        <v>113</v>
      </c>
      <c r="G40" t="s">
        <v>37</v>
      </c>
      <c r="H40" t="s">
        <v>37</v>
      </c>
      <c r="I40" t="s">
        <v>162</v>
      </c>
      <c r="J40" t="s">
        <v>702</v>
      </c>
      <c r="K40" t="s">
        <v>697</v>
      </c>
      <c r="L40" t="s">
        <v>57</v>
      </c>
      <c r="M40" t="s">
        <v>163</v>
      </c>
      <c r="N40" t="s">
        <v>102</v>
      </c>
      <c r="O40" t="s">
        <v>163</v>
      </c>
      <c r="P40" t="s">
        <v>164</v>
      </c>
      <c r="Q40" s="36">
        <v>46274</v>
      </c>
      <c r="R40" t="s">
        <v>1072</v>
      </c>
      <c r="X40" t="s">
        <v>36</v>
      </c>
      <c r="Y40" t="s">
        <v>697</v>
      </c>
      <c r="AA40" t="s">
        <v>113</v>
      </c>
      <c r="AB40" t="s">
        <v>42</v>
      </c>
      <c r="AC40" t="s">
        <v>53</v>
      </c>
      <c r="AD40" s="36">
        <v>46274</v>
      </c>
      <c r="AE40" t="s">
        <v>1073</v>
      </c>
      <c r="AF40" s="36">
        <v>46274</v>
      </c>
      <c r="AG40" t="s">
        <v>1073</v>
      </c>
      <c r="AH40" s="43">
        <v>100</v>
      </c>
      <c r="AI40" s="43">
        <v>100</v>
      </c>
      <c r="AJ40" s="44">
        <v>50</v>
      </c>
      <c r="AK40" t="s">
        <v>697</v>
      </c>
      <c r="AM40" t="s">
        <v>778</v>
      </c>
      <c r="AN40" s="39" t="str">
        <f>VLOOKUP(M40,[1]municipios!$B:$D,3,0)</f>
        <v>CORUMBA</v>
      </c>
      <c r="AO40" s="37">
        <f t="shared" ca="1" si="0"/>
        <v>204</v>
      </c>
      <c r="AP40" s="38" t="str">
        <f t="shared" ca="1" si="1"/>
        <v>&gt;50 dias</v>
      </c>
      <c r="AQ40" s="39" t="str">
        <f t="shared" ca="1" si="2"/>
        <v>Dentro</v>
      </c>
      <c r="AR40" s="39" t="str">
        <f t="shared" ca="1" si="3"/>
        <v>Não risco</v>
      </c>
      <c r="AS40" s="37" t="e">
        <f t="shared" si="6"/>
        <v>#VALUE!</v>
      </c>
      <c r="AT40" s="39">
        <f ca="1">IF(S40="",TODAY()-Q40,S40-Q40)</f>
        <v>14</v>
      </c>
      <c r="AU40" s="47" t="str">
        <f>VLOOKUP(X40,'pontos focais'!C:D,2,0)</f>
        <v>DESC Agentes de Relacionamento</v>
      </c>
      <c r="AV40" s="41">
        <f t="shared" si="5"/>
        <v>-46274</v>
      </c>
    </row>
    <row r="41" spans="1:48" x14ac:dyDescent="0.25">
      <c r="A41" t="s">
        <v>792</v>
      </c>
      <c r="B41" t="s">
        <v>53</v>
      </c>
      <c r="C41" t="s">
        <v>34</v>
      </c>
      <c r="D41" t="s">
        <v>78</v>
      </c>
      <c r="E41" s="36">
        <v>46184</v>
      </c>
      <c r="F41" t="s">
        <v>88</v>
      </c>
      <c r="G41" t="s">
        <v>37</v>
      </c>
      <c r="H41" t="s">
        <v>156</v>
      </c>
      <c r="I41" t="s">
        <v>697</v>
      </c>
      <c r="J41" t="s">
        <v>697</v>
      </c>
      <c r="K41" t="s">
        <v>697</v>
      </c>
      <c r="L41" t="s">
        <v>39</v>
      </c>
      <c r="M41" t="s">
        <v>1013</v>
      </c>
      <c r="N41" t="s">
        <v>14</v>
      </c>
      <c r="O41" t="s">
        <v>167</v>
      </c>
      <c r="P41" t="s">
        <v>168</v>
      </c>
      <c r="Q41" s="36">
        <v>46211</v>
      </c>
      <c r="R41" t="s">
        <v>638</v>
      </c>
      <c r="S41" s="36">
        <v>46252</v>
      </c>
      <c r="X41" t="s">
        <v>108</v>
      </c>
      <c r="Y41" t="s">
        <v>546</v>
      </c>
      <c r="Z41" t="s">
        <v>169</v>
      </c>
      <c r="AA41" t="s">
        <v>88</v>
      </c>
      <c r="AB41" t="s">
        <v>42</v>
      </c>
      <c r="AC41" t="s">
        <v>40</v>
      </c>
      <c r="AD41" s="36">
        <v>46268</v>
      </c>
      <c r="AE41" t="s">
        <v>93</v>
      </c>
      <c r="AF41" s="36">
        <v>46252</v>
      </c>
      <c r="AG41" t="s">
        <v>214</v>
      </c>
      <c r="AH41" s="43">
        <v>100</v>
      </c>
      <c r="AI41" s="43">
        <v>100</v>
      </c>
      <c r="AJ41" s="44">
        <v>75</v>
      </c>
      <c r="AK41" t="s">
        <v>697</v>
      </c>
      <c r="AM41" t="s">
        <v>697</v>
      </c>
      <c r="AN41" s="39" t="str">
        <f>VLOOKUP(M41,[1]municipios!$B:$D,3,0)</f>
        <v>NAVIRAI</v>
      </c>
      <c r="AO41" s="37">
        <f t="shared" ca="1" si="0"/>
        <v>104</v>
      </c>
      <c r="AP41" s="38" t="str">
        <f t="shared" ca="1" si="1"/>
        <v>&gt;50 dias</v>
      </c>
      <c r="AQ41" s="39" t="str">
        <f t="shared" ca="1" si="2"/>
        <v>Dentro</v>
      </c>
      <c r="AR41" s="39" t="str">
        <f t="shared" ca="1" si="3"/>
        <v>Não risco</v>
      </c>
      <c r="AS41" s="37" t="e">
        <f t="shared" si="6"/>
        <v>#VALUE!</v>
      </c>
      <c r="AT41" s="39">
        <f t="shared" ca="1" si="4"/>
        <v>41</v>
      </c>
      <c r="AU41" s="47" t="str">
        <f>VLOOKUP(X41,'pontos focais'!C:D,2,0)</f>
        <v>DEOP Qualidade</v>
      </c>
      <c r="AV41" s="41">
        <f t="shared" si="5"/>
        <v>-46211</v>
      </c>
    </row>
    <row r="42" spans="1:48" x14ac:dyDescent="0.25">
      <c r="A42" t="s">
        <v>712</v>
      </c>
      <c r="B42" t="s">
        <v>53</v>
      </c>
      <c r="C42" t="s">
        <v>87</v>
      </c>
      <c r="D42" t="s">
        <v>35</v>
      </c>
      <c r="E42" s="36">
        <v>46206</v>
      </c>
      <c r="F42" t="s">
        <v>88</v>
      </c>
      <c r="G42" t="s">
        <v>111</v>
      </c>
      <c r="H42" t="s">
        <v>111</v>
      </c>
      <c r="I42" t="s">
        <v>697</v>
      </c>
      <c r="J42" t="s">
        <v>697</v>
      </c>
      <c r="K42" t="s">
        <v>697</v>
      </c>
      <c r="L42" t="s">
        <v>39</v>
      </c>
      <c r="M42" t="s">
        <v>89</v>
      </c>
      <c r="N42" t="s">
        <v>14</v>
      </c>
      <c r="O42" t="s">
        <v>89</v>
      </c>
      <c r="P42" t="s">
        <v>90</v>
      </c>
      <c r="Q42" s="36">
        <v>46212</v>
      </c>
      <c r="R42" t="s">
        <v>91</v>
      </c>
      <c r="S42" s="36">
        <v>46252</v>
      </c>
      <c r="T42" t="s">
        <v>620</v>
      </c>
      <c r="V42" s="36">
        <v>46238</v>
      </c>
      <c r="W42" s="36">
        <v>46238</v>
      </c>
      <c r="X42" t="s">
        <v>66</v>
      </c>
      <c r="Y42" t="s">
        <v>546</v>
      </c>
      <c r="Z42" t="s">
        <v>92</v>
      </c>
      <c r="AA42" t="s">
        <v>697</v>
      </c>
      <c r="AB42" t="s">
        <v>42</v>
      </c>
      <c r="AC42" t="s">
        <v>53</v>
      </c>
      <c r="AD42" s="36">
        <v>46268</v>
      </c>
      <c r="AE42" t="s">
        <v>93</v>
      </c>
      <c r="AF42" s="36">
        <v>46252</v>
      </c>
      <c r="AG42" t="s">
        <v>214</v>
      </c>
      <c r="AH42" s="43">
        <v>100</v>
      </c>
      <c r="AI42" s="43">
        <v>100</v>
      </c>
      <c r="AJ42" s="44">
        <v>75</v>
      </c>
      <c r="AK42" t="s">
        <v>697</v>
      </c>
      <c r="AM42" t="s">
        <v>697</v>
      </c>
      <c r="AN42" s="39" t="str">
        <f>VLOOKUP(M42,[1]municipios!$B:$D,3,0)</f>
        <v>NAVIRAI</v>
      </c>
      <c r="AO42" s="37">
        <f t="shared" ca="1" si="0"/>
        <v>82</v>
      </c>
      <c r="AP42" s="38" t="str">
        <f t="shared" ca="1" si="1"/>
        <v>&gt;50 dias</v>
      </c>
      <c r="AQ42" s="39" t="str">
        <f t="shared" ca="1" si="2"/>
        <v>Dentro</v>
      </c>
      <c r="AR42" s="39" t="str">
        <f t="shared" ca="1" si="3"/>
        <v>Não risco</v>
      </c>
      <c r="AS42" s="37" t="e">
        <f t="shared" si="6"/>
        <v>#VALUE!</v>
      </c>
      <c r="AT42" s="39">
        <f t="shared" ca="1" si="4"/>
        <v>40</v>
      </c>
      <c r="AU42" s="47" t="str">
        <f>VLOOKUP(X42,'pontos focais'!C:D,2,0)</f>
        <v>DCMD Orçamento e Projetos</v>
      </c>
      <c r="AV42" s="41">
        <f t="shared" si="5"/>
        <v>-46212</v>
      </c>
    </row>
    <row r="43" spans="1:48" x14ac:dyDescent="0.25">
      <c r="A43" t="s">
        <v>713</v>
      </c>
      <c r="B43" t="s">
        <v>53</v>
      </c>
      <c r="C43" t="s">
        <v>43</v>
      </c>
      <c r="D43" t="s">
        <v>35</v>
      </c>
      <c r="E43" s="36">
        <v>46211</v>
      </c>
      <c r="F43" t="s">
        <v>88</v>
      </c>
      <c r="G43" t="s">
        <v>111</v>
      </c>
      <c r="H43" t="s">
        <v>111</v>
      </c>
      <c r="I43" t="s">
        <v>697</v>
      </c>
      <c r="J43" t="s">
        <v>697</v>
      </c>
      <c r="K43" t="s">
        <v>714</v>
      </c>
      <c r="L43" t="s">
        <v>39</v>
      </c>
      <c r="M43" t="s">
        <v>89</v>
      </c>
      <c r="N43" t="s">
        <v>14</v>
      </c>
      <c r="O43" t="s">
        <v>89</v>
      </c>
      <c r="P43" t="s">
        <v>121</v>
      </c>
      <c r="Q43" s="36">
        <v>46246</v>
      </c>
      <c r="R43" t="s">
        <v>551</v>
      </c>
      <c r="S43" s="36">
        <v>46258</v>
      </c>
      <c r="U43" s="36">
        <v>46253</v>
      </c>
      <c r="W43" s="36">
        <v>46252</v>
      </c>
      <c r="X43" t="s">
        <v>72</v>
      </c>
      <c r="Y43" t="s">
        <v>82</v>
      </c>
      <c r="Z43" t="s">
        <v>122</v>
      </c>
      <c r="AA43" t="s">
        <v>123</v>
      </c>
      <c r="AB43" t="s">
        <v>42</v>
      </c>
      <c r="AC43" t="s">
        <v>53</v>
      </c>
      <c r="AD43" s="36">
        <v>46268</v>
      </c>
      <c r="AE43" t="s">
        <v>93</v>
      </c>
      <c r="AF43" s="36">
        <v>46258</v>
      </c>
      <c r="AG43" t="s">
        <v>83</v>
      </c>
      <c r="AH43" s="43">
        <v>100</v>
      </c>
      <c r="AI43" s="43">
        <v>100</v>
      </c>
      <c r="AJ43" s="44">
        <v>100</v>
      </c>
      <c r="AK43" t="s">
        <v>697</v>
      </c>
      <c r="AM43" t="s">
        <v>697</v>
      </c>
      <c r="AN43" s="39" t="str">
        <f>VLOOKUP(M43,[1]municipios!$B:$D,3,0)</f>
        <v>NAVIRAI</v>
      </c>
      <c r="AO43" s="37">
        <f t="shared" ca="1" si="0"/>
        <v>77</v>
      </c>
      <c r="AP43" s="38" t="str">
        <f t="shared" ca="1" si="1"/>
        <v>&gt;50 dias</v>
      </c>
      <c r="AQ43" s="39" t="str">
        <f t="shared" ca="1" si="2"/>
        <v>Dentro</v>
      </c>
      <c r="AR43" s="39" t="str">
        <f t="shared" ca="1" si="3"/>
        <v>Não risco</v>
      </c>
      <c r="AS43" s="37" t="e">
        <f t="shared" si="6"/>
        <v>#VALUE!</v>
      </c>
      <c r="AT43" s="39">
        <f t="shared" ca="1" si="4"/>
        <v>12</v>
      </c>
      <c r="AU43" s="47" t="str">
        <f>VLOOKUP(X43,'pontos focais'!C:D,2,0)</f>
        <v>DCMD Programação de Obra</v>
      </c>
      <c r="AV43" s="41">
        <f t="shared" si="5"/>
        <v>7</v>
      </c>
    </row>
    <row r="44" spans="1:48" x14ac:dyDescent="0.25">
      <c r="A44" t="s">
        <v>715</v>
      </c>
      <c r="B44" t="s">
        <v>53</v>
      </c>
      <c r="C44" t="s">
        <v>43</v>
      </c>
      <c r="D44" t="s">
        <v>35</v>
      </c>
      <c r="E44" s="36">
        <v>46213</v>
      </c>
      <c r="F44" t="s">
        <v>88</v>
      </c>
      <c r="G44" t="s">
        <v>111</v>
      </c>
      <c r="H44" t="s">
        <v>111</v>
      </c>
      <c r="I44" t="s">
        <v>697</v>
      </c>
      <c r="J44" t="s">
        <v>697</v>
      </c>
      <c r="K44" t="s">
        <v>716</v>
      </c>
      <c r="L44" t="s">
        <v>39</v>
      </c>
      <c r="M44" t="s">
        <v>125</v>
      </c>
      <c r="N44" t="s">
        <v>14</v>
      </c>
      <c r="O44" t="s">
        <v>125</v>
      </c>
      <c r="P44" t="s">
        <v>547</v>
      </c>
      <c r="Q44" s="36">
        <v>46213</v>
      </c>
      <c r="R44" t="s">
        <v>126</v>
      </c>
      <c r="S44" s="36">
        <v>46238</v>
      </c>
      <c r="T44" t="s">
        <v>127</v>
      </c>
      <c r="U44" s="36">
        <v>46234</v>
      </c>
      <c r="V44" s="36">
        <v>46234</v>
      </c>
      <c r="W44" s="36">
        <v>46234</v>
      </c>
      <c r="X44" t="s">
        <v>69</v>
      </c>
      <c r="Y44" t="s">
        <v>94</v>
      </c>
      <c r="Z44" t="s">
        <v>128</v>
      </c>
      <c r="AA44" t="s">
        <v>697</v>
      </c>
      <c r="AB44" t="s">
        <v>42</v>
      </c>
      <c r="AC44" t="s">
        <v>53</v>
      </c>
      <c r="AD44" s="36">
        <v>46268</v>
      </c>
      <c r="AE44" t="s">
        <v>93</v>
      </c>
      <c r="AF44" s="36">
        <v>46238</v>
      </c>
      <c r="AG44" t="s">
        <v>72</v>
      </c>
      <c r="AH44" s="43">
        <v>100</v>
      </c>
      <c r="AI44" s="43">
        <v>100</v>
      </c>
      <c r="AJ44" s="44">
        <v>100</v>
      </c>
      <c r="AK44" t="s">
        <v>697</v>
      </c>
      <c r="AM44" t="s">
        <v>697</v>
      </c>
      <c r="AN44" s="39" t="str">
        <f>VLOOKUP(M44,[1]municipios!$B:$D,3,0)</f>
        <v>PONTA PORA</v>
      </c>
      <c r="AO44" s="37">
        <f t="shared" ca="1" si="0"/>
        <v>75</v>
      </c>
      <c r="AP44" s="38" t="str">
        <f t="shared" ca="1" si="1"/>
        <v>&gt;50 dias</v>
      </c>
      <c r="AQ44" s="39" t="str">
        <f t="shared" ca="1" si="2"/>
        <v>Dentro</v>
      </c>
      <c r="AR44" s="39" t="str">
        <f t="shared" ca="1" si="3"/>
        <v>Não risco</v>
      </c>
      <c r="AS44" s="37" t="e">
        <f t="shared" si="6"/>
        <v>#VALUE!</v>
      </c>
      <c r="AT44" s="39">
        <f t="shared" ca="1" si="4"/>
        <v>25</v>
      </c>
      <c r="AU44" s="47" t="str">
        <f>VLOOKUP(X44,'pontos focais'!C:D,2,0)</f>
        <v>DCMD Programação de Obra</v>
      </c>
      <c r="AV44" s="41">
        <f t="shared" si="5"/>
        <v>21</v>
      </c>
    </row>
    <row r="45" spans="1:48" x14ac:dyDescent="0.25">
      <c r="A45" t="s">
        <v>717</v>
      </c>
      <c r="B45" t="s">
        <v>53</v>
      </c>
      <c r="C45" t="s">
        <v>43</v>
      </c>
      <c r="D45" t="s">
        <v>35</v>
      </c>
      <c r="E45" s="36">
        <v>46217</v>
      </c>
      <c r="F45" t="s">
        <v>88</v>
      </c>
      <c r="G45" t="s">
        <v>111</v>
      </c>
      <c r="H45" t="s">
        <v>111</v>
      </c>
      <c r="I45" t="s">
        <v>697</v>
      </c>
      <c r="J45" t="s">
        <v>697</v>
      </c>
      <c r="K45" t="s">
        <v>697</v>
      </c>
      <c r="L45" t="s">
        <v>39</v>
      </c>
      <c r="M45" t="s">
        <v>45</v>
      </c>
      <c r="N45" t="s">
        <v>14</v>
      </c>
      <c r="O45" t="s">
        <v>45</v>
      </c>
      <c r="P45" t="s">
        <v>99</v>
      </c>
      <c r="Q45" s="36">
        <v>46217</v>
      </c>
      <c r="R45" t="s">
        <v>100</v>
      </c>
      <c r="S45" s="36">
        <v>46254</v>
      </c>
      <c r="U45" s="36">
        <v>46288</v>
      </c>
      <c r="V45" s="36">
        <v>46227</v>
      </c>
      <c r="W45" s="36">
        <v>46244</v>
      </c>
      <c r="X45" t="s">
        <v>66</v>
      </c>
      <c r="Y45" t="s">
        <v>82</v>
      </c>
      <c r="Z45" t="s">
        <v>101</v>
      </c>
      <c r="AA45" t="s">
        <v>697</v>
      </c>
      <c r="AB45" t="s">
        <v>42</v>
      </c>
      <c r="AC45" t="s">
        <v>40</v>
      </c>
      <c r="AD45" s="36">
        <v>46268</v>
      </c>
      <c r="AE45" t="s">
        <v>93</v>
      </c>
      <c r="AF45" s="36">
        <v>46254</v>
      </c>
      <c r="AG45" t="s">
        <v>83</v>
      </c>
      <c r="AH45" s="43">
        <v>100</v>
      </c>
      <c r="AI45" s="43">
        <v>100</v>
      </c>
      <c r="AJ45" s="44">
        <v>100</v>
      </c>
      <c r="AK45" t="s">
        <v>697</v>
      </c>
      <c r="AM45" t="s">
        <v>697</v>
      </c>
      <c r="AN45" s="39" t="str">
        <f>VLOOKUP(M45,[1]municipios!$B:$D,3,0)</f>
        <v>DOURADOS</v>
      </c>
      <c r="AO45" s="37">
        <f t="shared" ca="1" si="0"/>
        <v>71</v>
      </c>
      <c r="AP45" s="38" t="str">
        <f t="shared" ca="1" si="1"/>
        <v>&gt;50 dias</v>
      </c>
      <c r="AQ45" s="39" t="str">
        <f t="shared" ca="1" si="2"/>
        <v>Dentro</v>
      </c>
      <c r="AR45" s="39" t="str">
        <f t="shared" ca="1" si="3"/>
        <v>Risco</v>
      </c>
      <c r="AS45" s="37" t="e">
        <f t="shared" si="6"/>
        <v>#VALUE!</v>
      </c>
      <c r="AT45" s="39">
        <f t="shared" ca="1" si="4"/>
        <v>37</v>
      </c>
      <c r="AU45" s="47" t="str">
        <f>VLOOKUP(X45,'pontos focais'!C:D,2,0)</f>
        <v>DCMD Orçamento e Projetos</v>
      </c>
      <c r="AV45" s="41">
        <f t="shared" si="5"/>
        <v>71</v>
      </c>
    </row>
    <row r="46" spans="1:48" x14ac:dyDescent="0.25">
      <c r="A46" t="s">
        <v>718</v>
      </c>
      <c r="B46" t="s">
        <v>53</v>
      </c>
      <c r="C46" t="s">
        <v>43</v>
      </c>
      <c r="D46" t="s">
        <v>35</v>
      </c>
      <c r="E46" s="36">
        <v>46217</v>
      </c>
      <c r="F46" t="s">
        <v>56</v>
      </c>
      <c r="G46" t="s">
        <v>111</v>
      </c>
      <c r="H46" t="s">
        <v>111</v>
      </c>
      <c r="I46" t="s">
        <v>697</v>
      </c>
      <c r="J46" t="s">
        <v>697</v>
      </c>
      <c r="K46" t="s">
        <v>719</v>
      </c>
      <c r="L46" t="s">
        <v>57</v>
      </c>
      <c r="M46" t="s">
        <v>129</v>
      </c>
      <c r="N46" t="s">
        <v>14</v>
      </c>
      <c r="O46" t="s">
        <v>129</v>
      </c>
      <c r="P46" t="s">
        <v>548</v>
      </c>
      <c r="Q46" s="36">
        <v>46218</v>
      </c>
      <c r="R46" t="s">
        <v>130</v>
      </c>
      <c r="S46" s="36">
        <v>46225</v>
      </c>
      <c r="T46" t="s">
        <v>131</v>
      </c>
      <c r="U46" s="36">
        <v>46234</v>
      </c>
      <c r="W46" s="36">
        <v>46220</v>
      </c>
      <c r="X46" t="s">
        <v>69</v>
      </c>
      <c r="Y46" t="s">
        <v>94</v>
      </c>
      <c r="Z46" t="s">
        <v>132</v>
      </c>
      <c r="AA46" t="s">
        <v>56</v>
      </c>
      <c r="AB46" t="s">
        <v>42</v>
      </c>
      <c r="AC46" t="s">
        <v>53</v>
      </c>
      <c r="AD46" s="36">
        <v>46268</v>
      </c>
      <c r="AE46" t="s">
        <v>93</v>
      </c>
      <c r="AF46" s="36">
        <v>46225</v>
      </c>
      <c r="AG46" t="s">
        <v>72</v>
      </c>
      <c r="AH46" s="43">
        <v>100</v>
      </c>
      <c r="AI46" s="43">
        <v>100</v>
      </c>
      <c r="AJ46" s="44">
        <v>100</v>
      </c>
      <c r="AK46" t="s">
        <v>697</v>
      </c>
      <c r="AM46" t="s">
        <v>697</v>
      </c>
      <c r="AN46" s="39" t="str">
        <f>VLOOKUP(M46,[1]municipios!$B:$D,3,0)</f>
        <v>JARDIM</v>
      </c>
      <c r="AO46" s="37">
        <f t="shared" ca="1" si="0"/>
        <v>71</v>
      </c>
      <c r="AP46" s="38" t="str">
        <f t="shared" ca="1" si="1"/>
        <v>&gt;50 dias</v>
      </c>
      <c r="AQ46" s="39" t="str">
        <f t="shared" ca="1" si="2"/>
        <v>Dentro</v>
      </c>
      <c r="AR46" s="39" t="str">
        <f t="shared" ca="1" si="3"/>
        <v>Não risco</v>
      </c>
      <c r="AS46" s="37" t="e">
        <f t="shared" si="6"/>
        <v>#VALUE!</v>
      </c>
      <c r="AT46" s="39">
        <f t="shared" ca="1" si="4"/>
        <v>7</v>
      </c>
      <c r="AU46" s="47" t="str">
        <f>VLOOKUP(X46,'pontos focais'!C:D,2,0)</f>
        <v>DCMD Programação de Obra</v>
      </c>
      <c r="AV46" s="41">
        <f t="shared" si="5"/>
        <v>16</v>
      </c>
    </row>
    <row r="47" spans="1:48" x14ac:dyDescent="0.25">
      <c r="A47" t="s">
        <v>720</v>
      </c>
      <c r="B47" t="s">
        <v>53</v>
      </c>
      <c r="C47" t="s">
        <v>43</v>
      </c>
      <c r="D47" t="s">
        <v>35</v>
      </c>
      <c r="E47" s="36">
        <v>46219</v>
      </c>
      <c r="F47" t="s">
        <v>88</v>
      </c>
      <c r="G47" t="s">
        <v>111</v>
      </c>
      <c r="H47" t="s">
        <v>111</v>
      </c>
      <c r="I47" t="s">
        <v>697</v>
      </c>
      <c r="J47" t="s">
        <v>697</v>
      </c>
      <c r="K47" t="s">
        <v>697</v>
      </c>
      <c r="L47" t="s">
        <v>39</v>
      </c>
      <c r="M47" t="s">
        <v>125</v>
      </c>
      <c r="N47" t="s">
        <v>14</v>
      </c>
      <c r="O47" t="s">
        <v>125</v>
      </c>
      <c r="P47" t="s">
        <v>172</v>
      </c>
      <c r="Q47" s="36">
        <v>46219</v>
      </c>
      <c r="R47" t="s">
        <v>173</v>
      </c>
      <c r="S47" s="36">
        <v>46252</v>
      </c>
      <c r="T47" t="s">
        <v>621</v>
      </c>
      <c r="U47" s="36">
        <v>46234</v>
      </c>
      <c r="W47" s="36">
        <v>46252</v>
      </c>
      <c r="X47" t="s">
        <v>66</v>
      </c>
      <c r="Y47" t="s">
        <v>546</v>
      </c>
      <c r="Z47" t="s">
        <v>174</v>
      </c>
      <c r="AA47" t="s">
        <v>697</v>
      </c>
      <c r="AB47" t="s">
        <v>42</v>
      </c>
      <c r="AC47" t="s">
        <v>53</v>
      </c>
      <c r="AD47" s="36">
        <v>46268</v>
      </c>
      <c r="AE47" t="s">
        <v>93</v>
      </c>
      <c r="AF47" s="36">
        <v>46252</v>
      </c>
      <c r="AG47" t="s">
        <v>214</v>
      </c>
      <c r="AH47" s="43">
        <v>100</v>
      </c>
      <c r="AI47" s="43">
        <v>100</v>
      </c>
      <c r="AJ47" s="44">
        <v>100</v>
      </c>
      <c r="AK47" t="s">
        <v>697</v>
      </c>
      <c r="AM47" t="s">
        <v>697</v>
      </c>
      <c r="AN47" s="39" t="str">
        <f>VLOOKUP(M47,[1]municipios!$B:$D,3,0)</f>
        <v>PONTA PORA</v>
      </c>
      <c r="AO47" s="37">
        <f t="shared" ca="1" si="0"/>
        <v>69</v>
      </c>
      <c r="AP47" s="38" t="str">
        <f t="shared" ca="1" si="1"/>
        <v>&gt;50 dias</v>
      </c>
      <c r="AQ47" s="39" t="str">
        <f t="shared" ca="1" si="2"/>
        <v>Fora</v>
      </c>
      <c r="AR47" s="39" t="str">
        <f t="shared" ca="1" si="3"/>
        <v>Não risco</v>
      </c>
      <c r="AS47" s="37" t="e">
        <f t="shared" si="6"/>
        <v>#VALUE!</v>
      </c>
      <c r="AT47" s="39">
        <f t="shared" ca="1" si="4"/>
        <v>33</v>
      </c>
      <c r="AU47" s="47" t="str">
        <f>VLOOKUP(X47,'pontos focais'!C:D,2,0)</f>
        <v>DCMD Orçamento e Projetos</v>
      </c>
      <c r="AV47" s="41">
        <f t="shared" si="5"/>
        <v>15</v>
      </c>
    </row>
    <row r="48" spans="1:48" x14ac:dyDescent="0.25">
      <c r="A48" t="s">
        <v>793</v>
      </c>
      <c r="B48" t="s">
        <v>53</v>
      </c>
      <c r="C48" t="s">
        <v>54</v>
      </c>
      <c r="D48" t="s">
        <v>55</v>
      </c>
      <c r="E48" s="36">
        <v>46225</v>
      </c>
      <c r="F48" t="s">
        <v>44</v>
      </c>
      <c r="G48" t="s">
        <v>37</v>
      </c>
      <c r="H48" t="s">
        <v>156</v>
      </c>
      <c r="I48" t="s">
        <v>1074</v>
      </c>
      <c r="J48" t="s">
        <v>697</v>
      </c>
      <c r="K48" t="s">
        <v>794</v>
      </c>
      <c r="L48" t="s">
        <v>64</v>
      </c>
      <c r="M48" t="s">
        <v>97</v>
      </c>
      <c r="N48" t="s">
        <v>14</v>
      </c>
      <c r="O48" t="s">
        <v>97</v>
      </c>
      <c r="P48" t="s">
        <v>175</v>
      </c>
      <c r="Q48" s="36">
        <v>46283</v>
      </c>
      <c r="R48" t="s">
        <v>1075</v>
      </c>
      <c r="X48" t="s">
        <v>49</v>
      </c>
      <c r="Y48" t="s">
        <v>697</v>
      </c>
      <c r="Z48" t="s">
        <v>176</v>
      </c>
      <c r="AA48" t="s">
        <v>44</v>
      </c>
      <c r="AB48" t="s">
        <v>42</v>
      </c>
      <c r="AC48" t="s">
        <v>53</v>
      </c>
      <c r="AD48" s="36">
        <v>46283</v>
      </c>
      <c r="AE48" t="s">
        <v>71</v>
      </c>
      <c r="AF48" s="36">
        <v>46283</v>
      </c>
      <c r="AG48" t="s">
        <v>71</v>
      </c>
      <c r="AH48" s="43">
        <v>100</v>
      </c>
      <c r="AI48" s="43">
        <v>100</v>
      </c>
      <c r="AJ48" s="44">
        <v>50</v>
      </c>
      <c r="AK48" t="s">
        <v>777</v>
      </c>
      <c r="AM48" t="s">
        <v>778</v>
      </c>
      <c r="AN48" s="39" t="str">
        <f>VLOOKUP(M48,[1]municipios!$B:$D,3,0)</f>
        <v>PARANAIBA</v>
      </c>
      <c r="AO48" s="37">
        <f t="shared" ca="1" si="0"/>
        <v>63</v>
      </c>
      <c r="AP48" s="38" t="str">
        <f t="shared" ca="1" si="1"/>
        <v>&gt;50 dias</v>
      </c>
      <c r="AQ48" s="39" t="str">
        <f t="shared" ca="1" si="2"/>
        <v>Dentro</v>
      </c>
      <c r="AR48" s="39" t="str">
        <f t="shared" ca="1" si="3"/>
        <v>Não risco</v>
      </c>
      <c r="AS48" s="37" t="e">
        <f t="shared" si="6"/>
        <v>#VALUE!</v>
      </c>
      <c r="AT48" s="39">
        <f t="shared" ca="1" si="4"/>
        <v>5</v>
      </c>
      <c r="AU48" s="47" t="str">
        <f>VLOOKUP(X48,'pontos focais'!C:D,2,0)</f>
        <v>DESC Agentes de Relacionamento</v>
      </c>
      <c r="AV48" s="41">
        <f t="shared" si="5"/>
        <v>-46283</v>
      </c>
    </row>
    <row r="49" spans="1:48" x14ac:dyDescent="0.25">
      <c r="A49" t="s">
        <v>793</v>
      </c>
      <c r="B49" t="s">
        <v>53</v>
      </c>
      <c r="C49" t="s">
        <v>43</v>
      </c>
      <c r="D49" t="s">
        <v>35</v>
      </c>
      <c r="E49" s="36">
        <v>46225</v>
      </c>
      <c r="F49" t="s">
        <v>44</v>
      </c>
      <c r="G49" t="s">
        <v>37</v>
      </c>
      <c r="H49" t="s">
        <v>156</v>
      </c>
      <c r="I49" t="s">
        <v>1074</v>
      </c>
      <c r="J49" t="s">
        <v>697</v>
      </c>
      <c r="K49" t="s">
        <v>794</v>
      </c>
      <c r="L49" t="s">
        <v>64</v>
      </c>
      <c r="M49" t="s">
        <v>97</v>
      </c>
      <c r="N49" t="s">
        <v>14</v>
      </c>
      <c r="O49" t="s">
        <v>97</v>
      </c>
      <c r="P49" t="s">
        <v>175</v>
      </c>
      <c r="Q49" s="36">
        <v>46283</v>
      </c>
      <c r="R49" t="s">
        <v>1076</v>
      </c>
      <c r="X49" t="s">
        <v>72</v>
      </c>
      <c r="Y49" t="s">
        <v>697</v>
      </c>
      <c r="Z49" t="s">
        <v>176</v>
      </c>
      <c r="AA49" t="s">
        <v>44</v>
      </c>
      <c r="AB49" t="s">
        <v>42</v>
      </c>
      <c r="AC49" t="s">
        <v>53</v>
      </c>
      <c r="AD49" s="36">
        <v>46283</v>
      </c>
      <c r="AE49" t="s">
        <v>71</v>
      </c>
      <c r="AF49" s="36">
        <v>46283</v>
      </c>
      <c r="AG49" t="s">
        <v>71</v>
      </c>
      <c r="AH49" s="43">
        <v>100</v>
      </c>
      <c r="AI49" s="43">
        <v>100</v>
      </c>
      <c r="AJ49" s="44">
        <v>50</v>
      </c>
      <c r="AK49" t="s">
        <v>654</v>
      </c>
      <c r="AM49" t="s">
        <v>653</v>
      </c>
      <c r="AN49" s="39" t="str">
        <f>VLOOKUP(M49,[1]municipios!$B:$D,3,0)</f>
        <v>PARANAIBA</v>
      </c>
      <c r="AO49" s="37">
        <f t="shared" ca="1" si="0"/>
        <v>63</v>
      </c>
      <c r="AP49" s="38" t="str">
        <f t="shared" ca="1" si="1"/>
        <v>&gt;50 dias</v>
      </c>
      <c r="AQ49" s="39" t="str">
        <f t="shared" ca="1" si="2"/>
        <v>Dentro</v>
      </c>
      <c r="AR49" s="39" t="str">
        <f t="shared" ca="1" si="3"/>
        <v>Não risco</v>
      </c>
      <c r="AS49" s="37" t="e">
        <f t="shared" si="6"/>
        <v>#VALUE!</v>
      </c>
      <c r="AT49" s="39">
        <f t="shared" ca="1" si="4"/>
        <v>5</v>
      </c>
      <c r="AU49" s="47" t="str">
        <f>VLOOKUP(X49,'pontos focais'!C:D,2,0)</f>
        <v>DCMD Programação de Obra</v>
      </c>
      <c r="AV49" s="41">
        <f t="shared" si="5"/>
        <v>-46283</v>
      </c>
    </row>
    <row r="50" spans="1:48" x14ac:dyDescent="0.25">
      <c r="A50" t="s">
        <v>722</v>
      </c>
      <c r="B50" t="s">
        <v>53</v>
      </c>
      <c r="C50" t="s">
        <v>133</v>
      </c>
      <c r="D50" t="s">
        <v>55</v>
      </c>
      <c r="E50" s="36">
        <v>46225</v>
      </c>
      <c r="F50" t="s">
        <v>88</v>
      </c>
      <c r="G50" t="s">
        <v>111</v>
      </c>
      <c r="H50" t="s">
        <v>111</v>
      </c>
      <c r="I50" t="s">
        <v>697</v>
      </c>
      <c r="J50" t="s">
        <v>697</v>
      </c>
      <c r="K50" t="s">
        <v>177</v>
      </c>
      <c r="L50" t="s">
        <v>39</v>
      </c>
      <c r="M50" t="s">
        <v>76</v>
      </c>
      <c r="N50" t="s">
        <v>14</v>
      </c>
      <c r="O50" t="s">
        <v>76</v>
      </c>
      <c r="P50" t="s">
        <v>178</v>
      </c>
      <c r="Q50" s="36">
        <v>46226</v>
      </c>
      <c r="R50" t="s">
        <v>179</v>
      </c>
      <c r="S50" s="36">
        <v>46253</v>
      </c>
      <c r="W50" s="36">
        <v>46253</v>
      </c>
      <c r="X50" t="s">
        <v>88</v>
      </c>
      <c r="Y50" t="s">
        <v>546</v>
      </c>
      <c r="Z50" t="s">
        <v>180</v>
      </c>
      <c r="AA50" t="s">
        <v>106</v>
      </c>
      <c r="AB50" t="s">
        <v>42</v>
      </c>
      <c r="AC50" t="s">
        <v>53</v>
      </c>
      <c r="AD50" s="36">
        <v>46268</v>
      </c>
      <c r="AE50" t="s">
        <v>93</v>
      </c>
      <c r="AF50" s="36">
        <v>46253</v>
      </c>
      <c r="AG50" t="s">
        <v>214</v>
      </c>
      <c r="AH50" s="43">
        <v>100</v>
      </c>
      <c r="AI50" s="43">
        <v>100</v>
      </c>
      <c r="AJ50" s="44">
        <v>100</v>
      </c>
      <c r="AK50" t="s">
        <v>697</v>
      </c>
      <c r="AM50" t="s">
        <v>697</v>
      </c>
      <c r="AN50" s="39" t="str">
        <f>VLOOKUP(M50,[1]municipios!$B:$D,3,0)</f>
        <v>NOVA ANDRADINA</v>
      </c>
      <c r="AO50" s="37">
        <f t="shared" ca="1" si="0"/>
        <v>63</v>
      </c>
      <c r="AP50" s="38" t="str">
        <f t="shared" ca="1" si="1"/>
        <v>&gt;50 dias</v>
      </c>
      <c r="AQ50" s="39" t="str">
        <f t="shared" ca="1" si="2"/>
        <v>Dentro</v>
      </c>
      <c r="AR50" s="39" t="str">
        <f t="shared" ca="1" si="3"/>
        <v>Não risco</v>
      </c>
      <c r="AS50" s="37" t="e">
        <f t="shared" si="6"/>
        <v>#VALUE!</v>
      </c>
      <c r="AT50" s="39">
        <f t="shared" ca="1" si="4"/>
        <v>27</v>
      </c>
      <c r="AU50" s="47" t="str">
        <f>VLOOKUP(X50,'pontos focais'!C:D,2,0)</f>
        <v>DESC Agentes de Relacionamento</v>
      </c>
      <c r="AV50" s="41">
        <f t="shared" si="5"/>
        <v>-46226</v>
      </c>
    </row>
    <row r="51" spans="1:48" x14ac:dyDescent="0.25">
      <c r="A51" t="s">
        <v>722</v>
      </c>
      <c r="B51" t="s">
        <v>53</v>
      </c>
      <c r="C51" t="s">
        <v>43</v>
      </c>
      <c r="D51" t="s">
        <v>35</v>
      </c>
      <c r="E51" s="36">
        <v>46225</v>
      </c>
      <c r="F51" t="s">
        <v>88</v>
      </c>
      <c r="G51" t="s">
        <v>111</v>
      </c>
      <c r="H51" t="s">
        <v>111</v>
      </c>
      <c r="I51" t="s">
        <v>697</v>
      </c>
      <c r="J51" t="s">
        <v>697</v>
      </c>
      <c r="K51" t="s">
        <v>704</v>
      </c>
      <c r="L51" t="s">
        <v>39</v>
      </c>
      <c r="M51" t="s">
        <v>76</v>
      </c>
      <c r="N51" t="s">
        <v>14</v>
      </c>
      <c r="O51" t="s">
        <v>76</v>
      </c>
      <c r="P51" t="s">
        <v>178</v>
      </c>
      <c r="Q51" s="36">
        <v>46226</v>
      </c>
      <c r="R51" t="s">
        <v>181</v>
      </c>
      <c r="S51" s="36">
        <v>46269</v>
      </c>
      <c r="T51" t="s">
        <v>987</v>
      </c>
      <c r="U51" s="36">
        <v>46356</v>
      </c>
      <c r="X51" t="s">
        <v>72</v>
      </c>
      <c r="Y51" t="s">
        <v>94</v>
      </c>
      <c r="Z51" t="s">
        <v>180</v>
      </c>
      <c r="AA51" t="s">
        <v>106</v>
      </c>
      <c r="AB51" t="s">
        <v>42</v>
      </c>
      <c r="AC51" t="s">
        <v>53</v>
      </c>
      <c r="AD51" s="36">
        <v>46269</v>
      </c>
      <c r="AE51" t="s">
        <v>72</v>
      </c>
      <c r="AF51" s="36">
        <v>46269</v>
      </c>
      <c r="AG51" t="s">
        <v>72</v>
      </c>
      <c r="AH51" s="43">
        <v>100</v>
      </c>
      <c r="AI51" s="43">
        <v>100</v>
      </c>
      <c r="AJ51" s="44">
        <v>100</v>
      </c>
      <c r="AK51" t="s">
        <v>697</v>
      </c>
      <c r="AM51" t="s">
        <v>697</v>
      </c>
      <c r="AN51" s="39" t="str">
        <f>VLOOKUP(M51,[1]municipios!$B:$D,3,0)</f>
        <v>NOVA ANDRADINA</v>
      </c>
      <c r="AO51" s="37">
        <f t="shared" ca="1" si="0"/>
        <v>63</v>
      </c>
      <c r="AP51" s="38" t="str">
        <f t="shared" ca="1" si="1"/>
        <v>&gt;50 dias</v>
      </c>
      <c r="AQ51" s="39" t="str">
        <f t="shared" ca="1" si="2"/>
        <v>Dentro</v>
      </c>
      <c r="AR51" s="39" t="str">
        <f t="shared" ca="1" si="3"/>
        <v>Risco</v>
      </c>
      <c r="AS51" s="37" t="e">
        <f t="shared" si="6"/>
        <v>#VALUE!</v>
      </c>
      <c r="AT51" s="39">
        <f t="shared" ca="1" si="4"/>
        <v>43</v>
      </c>
      <c r="AU51" s="47" t="str">
        <f>VLOOKUP(X51,'pontos focais'!C:D,2,0)</f>
        <v>DCMD Programação de Obra</v>
      </c>
      <c r="AV51" s="41">
        <f t="shared" si="5"/>
        <v>130</v>
      </c>
    </row>
    <row r="52" spans="1:48" x14ac:dyDescent="0.25">
      <c r="A52" t="s">
        <v>723</v>
      </c>
      <c r="B52" t="s">
        <v>53</v>
      </c>
      <c r="C52" t="s">
        <v>43</v>
      </c>
      <c r="D52" t="s">
        <v>35</v>
      </c>
      <c r="E52" s="36">
        <v>46227</v>
      </c>
      <c r="F52" t="s">
        <v>88</v>
      </c>
      <c r="G52" t="s">
        <v>111</v>
      </c>
      <c r="H52" t="s">
        <v>111</v>
      </c>
      <c r="I52" t="s">
        <v>697</v>
      </c>
      <c r="J52" t="s">
        <v>697</v>
      </c>
      <c r="K52" t="s">
        <v>724</v>
      </c>
      <c r="L52" t="s">
        <v>39</v>
      </c>
      <c r="M52" t="s">
        <v>104</v>
      </c>
      <c r="N52" t="s">
        <v>105</v>
      </c>
      <c r="O52" t="s">
        <v>104</v>
      </c>
      <c r="P52" t="s">
        <v>652</v>
      </c>
      <c r="Q52" s="36">
        <v>46230</v>
      </c>
      <c r="R52" t="s">
        <v>724</v>
      </c>
      <c r="S52" s="36">
        <v>46255</v>
      </c>
      <c r="U52" s="36">
        <v>46265</v>
      </c>
      <c r="V52" s="36">
        <v>46239</v>
      </c>
      <c r="W52" s="36">
        <v>46244</v>
      </c>
      <c r="X52" t="s">
        <v>72</v>
      </c>
      <c r="Y52" t="s">
        <v>82</v>
      </c>
      <c r="Z52" t="s">
        <v>106</v>
      </c>
      <c r="AA52" t="s">
        <v>106</v>
      </c>
      <c r="AB52" t="s">
        <v>42</v>
      </c>
      <c r="AC52" t="s">
        <v>53</v>
      </c>
      <c r="AD52" s="36">
        <v>46268</v>
      </c>
      <c r="AE52" t="s">
        <v>93</v>
      </c>
      <c r="AF52" s="36">
        <v>46255</v>
      </c>
      <c r="AG52" t="s">
        <v>83</v>
      </c>
      <c r="AH52" s="43">
        <v>50</v>
      </c>
      <c r="AI52" s="43">
        <v>50</v>
      </c>
      <c r="AJ52" s="44">
        <v>50</v>
      </c>
      <c r="AK52" t="s">
        <v>697</v>
      </c>
      <c r="AM52" t="s">
        <v>697</v>
      </c>
      <c r="AN52" s="39" t="str">
        <f>VLOOKUP(M52,[1]municipios!$B:$D,3,0)</f>
        <v>RIO BRILHANTE</v>
      </c>
      <c r="AO52" s="37">
        <f t="shared" ca="1" si="0"/>
        <v>61</v>
      </c>
      <c r="AP52" s="38" t="str">
        <f t="shared" ca="1" si="1"/>
        <v>&gt;50 dias</v>
      </c>
      <c r="AQ52" s="39" t="str">
        <f t="shared" ca="1" si="2"/>
        <v>Dentro</v>
      </c>
      <c r="AR52" s="39" t="str">
        <f t="shared" ca="1" si="3"/>
        <v>Não risco</v>
      </c>
      <c r="AS52" s="37" t="e">
        <f t="shared" si="6"/>
        <v>#VALUE!</v>
      </c>
      <c r="AT52" s="39">
        <f t="shared" ca="1" si="4"/>
        <v>25</v>
      </c>
      <c r="AU52" s="47" t="str">
        <f>VLOOKUP(X52,'pontos focais'!C:D,2,0)</f>
        <v>DCMD Programação de Obra</v>
      </c>
      <c r="AV52" s="41">
        <f t="shared" si="5"/>
        <v>35</v>
      </c>
    </row>
    <row r="53" spans="1:48" x14ac:dyDescent="0.25">
      <c r="A53" t="s">
        <v>725</v>
      </c>
      <c r="B53" t="s">
        <v>53</v>
      </c>
      <c r="C53" t="s">
        <v>133</v>
      </c>
      <c r="D53" t="s">
        <v>55</v>
      </c>
      <c r="E53" s="36">
        <v>46234</v>
      </c>
      <c r="F53" t="s">
        <v>67</v>
      </c>
      <c r="G53" t="s">
        <v>111</v>
      </c>
      <c r="H53" t="s">
        <v>156</v>
      </c>
      <c r="I53" t="s">
        <v>185</v>
      </c>
      <c r="J53" t="s">
        <v>697</v>
      </c>
      <c r="K53" t="s">
        <v>697</v>
      </c>
      <c r="L53" t="s">
        <v>39</v>
      </c>
      <c r="M53" t="s">
        <v>45</v>
      </c>
      <c r="N53" t="s">
        <v>68</v>
      </c>
      <c r="O53" t="s">
        <v>45</v>
      </c>
      <c r="P53" t="s">
        <v>135</v>
      </c>
      <c r="Q53" s="36">
        <v>46246</v>
      </c>
      <c r="R53" t="s">
        <v>552</v>
      </c>
      <c r="X53" t="s">
        <v>1014</v>
      </c>
      <c r="Y53" t="s">
        <v>697</v>
      </c>
      <c r="Z53" t="s">
        <v>136</v>
      </c>
      <c r="AA53" t="s">
        <v>67</v>
      </c>
      <c r="AB53" t="s">
        <v>42</v>
      </c>
      <c r="AC53" t="s">
        <v>53</v>
      </c>
      <c r="AD53" s="36">
        <v>46268</v>
      </c>
      <c r="AE53" t="s">
        <v>93</v>
      </c>
      <c r="AF53" s="36">
        <v>46246</v>
      </c>
      <c r="AG53" t="s">
        <v>71</v>
      </c>
      <c r="AH53" s="43">
        <v>25</v>
      </c>
      <c r="AI53" s="43">
        <v>25</v>
      </c>
      <c r="AJ53" s="44">
        <v>12.5</v>
      </c>
      <c r="AK53" t="s">
        <v>697</v>
      </c>
      <c r="AM53" t="s">
        <v>697</v>
      </c>
      <c r="AN53" s="39" t="str">
        <f>VLOOKUP(M53,[1]municipios!$B:$D,3,0)</f>
        <v>DOURADOS</v>
      </c>
      <c r="AO53" s="37">
        <f t="shared" ca="1" si="0"/>
        <v>54</v>
      </c>
      <c r="AP53" s="38" t="str">
        <f t="shared" ca="1" si="1"/>
        <v>&gt;50 dias</v>
      </c>
      <c r="AQ53" s="39" t="str">
        <f t="shared" ca="1" si="2"/>
        <v>Dentro</v>
      </c>
      <c r="AR53" s="39" t="str">
        <f t="shared" ca="1" si="3"/>
        <v>Não risco</v>
      </c>
      <c r="AS53" s="37" t="e">
        <f t="shared" si="6"/>
        <v>#VALUE!</v>
      </c>
      <c r="AT53" s="39">
        <f t="shared" ca="1" si="4"/>
        <v>42</v>
      </c>
      <c r="AU53" s="47" t="str">
        <f>VLOOKUP(X53,'pontos focais'!C:D,2,0)</f>
        <v>DESC Ofícios</v>
      </c>
      <c r="AV53" s="41">
        <f t="shared" si="5"/>
        <v>-46246</v>
      </c>
    </row>
    <row r="54" spans="1:48" x14ac:dyDescent="0.25">
      <c r="A54" t="s">
        <v>725</v>
      </c>
      <c r="B54" t="s">
        <v>53</v>
      </c>
      <c r="C54" t="s">
        <v>43</v>
      </c>
      <c r="D54" t="s">
        <v>35</v>
      </c>
      <c r="E54" s="36">
        <v>46234</v>
      </c>
      <c r="F54" t="s">
        <v>67</v>
      </c>
      <c r="G54" t="s">
        <v>111</v>
      </c>
      <c r="H54" t="s">
        <v>111</v>
      </c>
      <c r="I54" t="s">
        <v>697</v>
      </c>
      <c r="J54" t="s">
        <v>697</v>
      </c>
      <c r="K54" t="s">
        <v>697</v>
      </c>
      <c r="L54" t="s">
        <v>39</v>
      </c>
      <c r="M54" t="s">
        <v>45</v>
      </c>
      <c r="N54" t="s">
        <v>68</v>
      </c>
      <c r="O54" t="s">
        <v>45</v>
      </c>
      <c r="P54" t="s">
        <v>135</v>
      </c>
      <c r="Q54" s="36">
        <v>46237</v>
      </c>
      <c r="R54" t="s">
        <v>135</v>
      </c>
      <c r="S54" s="36">
        <v>46255</v>
      </c>
      <c r="U54" s="36">
        <v>46265</v>
      </c>
      <c r="W54" s="36">
        <v>46239</v>
      </c>
      <c r="X54" t="s">
        <v>86</v>
      </c>
      <c r="Y54" t="s">
        <v>82</v>
      </c>
      <c r="Z54" t="s">
        <v>136</v>
      </c>
      <c r="AA54" t="s">
        <v>67</v>
      </c>
      <c r="AB54" t="s">
        <v>42</v>
      </c>
      <c r="AC54" t="s">
        <v>53</v>
      </c>
      <c r="AD54" s="36">
        <v>46268</v>
      </c>
      <c r="AE54" t="s">
        <v>93</v>
      </c>
      <c r="AF54" s="36">
        <v>46255</v>
      </c>
      <c r="AG54" t="s">
        <v>83</v>
      </c>
      <c r="AH54" s="43">
        <v>25</v>
      </c>
      <c r="AI54" s="43">
        <v>25</v>
      </c>
      <c r="AJ54" s="44">
        <v>25</v>
      </c>
      <c r="AK54" t="s">
        <v>697</v>
      </c>
      <c r="AM54" t="s">
        <v>697</v>
      </c>
      <c r="AN54" s="39" t="str">
        <f>VLOOKUP(M54,[1]municipios!$B:$D,3,0)</f>
        <v>DOURADOS</v>
      </c>
      <c r="AO54" s="37">
        <f t="shared" ca="1" si="0"/>
        <v>54</v>
      </c>
      <c r="AP54" s="38" t="str">
        <f t="shared" ca="1" si="1"/>
        <v>&gt;50 dias</v>
      </c>
      <c r="AQ54" s="39" t="str">
        <f t="shared" ca="1" si="2"/>
        <v>Dentro</v>
      </c>
      <c r="AR54" s="39" t="str">
        <f t="shared" ca="1" si="3"/>
        <v>Não risco</v>
      </c>
      <c r="AS54" s="37" t="e">
        <f t="shared" si="6"/>
        <v>#VALUE!</v>
      </c>
      <c r="AT54" s="39">
        <f t="shared" ca="1" si="4"/>
        <v>18</v>
      </c>
      <c r="AU54" s="47" t="str">
        <f>VLOOKUP(X54,'pontos focais'!C:D,2,0)</f>
        <v>DCMD Orçamento e Projetos</v>
      </c>
      <c r="AV54" s="41">
        <f t="shared" si="5"/>
        <v>28</v>
      </c>
    </row>
    <row r="55" spans="1:48" x14ac:dyDescent="0.25">
      <c r="A55" t="s">
        <v>703</v>
      </c>
      <c r="B55" t="s">
        <v>53</v>
      </c>
      <c r="C55" t="s">
        <v>43</v>
      </c>
      <c r="D55" t="s">
        <v>35</v>
      </c>
      <c r="E55" s="36">
        <v>46227</v>
      </c>
      <c r="F55" t="s">
        <v>88</v>
      </c>
      <c r="G55" t="s">
        <v>37</v>
      </c>
      <c r="H55" t="s">
        <v>37</v>
      </c>
      <c r="I55" t="s">
        <v>697</v>
      </c>
      <c r="J55" t="s">
        <v>697</v>
      </c>
      <c r="K55" t="s">
        <v>704</v>
      </c>
      <c r="L55" t="s">
        <v>39</v>
      </c>
      <c r="M55" t="s">
        <v>76</v>
      </c>
      <c r="N55" t="s">
        <v>14</v>
      </c>
      <c r="O55" t="s">
        <v>76</v>
      </c>
      <c r="P55" t="s">
        <v>188</v>
      </c>
      <c r="Q55" s="36">
        <v>46233</v>
      </c>
      <c r="R55" t="s">
        <v>188</v>
      </c>
      <c r="S55" s="36">
        <v>46269</v>
      </c>
      <c r="T55" t="s">
        <v>967</v>
      </c>
      <c r="U55" s="36">
        <v>46295</v>
      </c>
      <c r="V55" s="36">
        <v>46294</v>
      </c>
      <c r="X55" t="s">
        <v>72</v>
      </c>
      <c r="Y55" t="s">
        <v>94</v>
      </c>
      <c r="AA55" t="s">
        <v>106</v>
      </c>
      <c r="AB55" t="s">
        <v>42</v>
      </c>
      <c r="AC55" t="s">
        <v>53</v>
      </c>
      <c r="AD55" s="36">
        <v>46269</v>
      </c>
      <c r="AE55" t="s">
        <v>72</v>
      </c>
      <c r="AF55" s="36">
        <v>46269</v>
      </c>
      <c r="AG55" t="s">
        <v>72</v>
      </c>
      <c r="AH55" s="43">
        <v>100</v>
      </c>
      <c r="AI55" s="43">
        <v>100</v>
      </c>
      <c r="AJ55" s="44">
        <v>100</v>
      </c>
      <c r="AK55" t="s">
        <v>697</v>
      </c>
      <c r="AM55" t="s">
        <v>697</v>
      </c>
      <c r="AN55" s="39" t="str">
        <f>VLOOKUP(M55,[1]municipios!$B:$D,3,0)</f>
        <v>NOVA ANDRADINA</v>
      </c>
      <c r="AO55" s="37">
        <f t="shared" ca="1" si="0"/>
        <v>61</v>
      </c>
      <c r="AP55" s="38" t="str">
        <f t="shared" ca="1" si="1"/>
        <v>&gt;50 dias</v>
      </c>
      <c r="AQ55" s="39" t="str">
        <f t="shared" ca="1" si="2"/>
        <v>Dentro</v>
      </c>
      <c r="AR55" s="39" t="str">
        <f t="shared" ca="1" si="3"/>
        <v>Risco</v>
      </c>
      <c r="AS55" s="37" t="str">
        <f t="shared" si="6"/>
        <v>Sim</v>
      </c>
      <c r="AT55" s="39">
        <f t="shared" ca="1" si="4"/>
        <v>36</v>
      </c>
      <c r="AU55" s="47" t="str">
        <f>VLOOKUP(X55,'pontos focais'!C:D,2,0)</f>
        <v>DCMD Programação de Obra</v>
      </c>
      <c r="AV55" s="41">
        <f t="shared" si="5"/>
        <v>62</v>
      </c>
    </row>
    <row r="56" spans="1:48" x14ac:dyDescent="0.25">
      <c r="A56" t="s">
        <v>795</v>
      </c>
      <c r="B56" t="s">
        <v>53</v>
      </c>
      <c r="C56" t="s">
        <v>74</v>
      </c>
      <c r="D56" t="s">
        <v>35</v>
      </c>
      <c r="E56" s="36">
        <v>46136</v>
      </c>
      <c r="F56" t="s">
        <v>56</v>
      </c>
      <c r="G56" t="s">
        <v>37</v>
      </c>
      <c r="H56" t="s">
        <v>156</v>
      </c>
      <c r="I56" t="s">
        <v>697</v>
      </c>
      <c r="J56" t="s">
        <v>697</v>
      </c>
      <c r="K56" t="s">
        <v>697</v>
      </c>
      <c r="L56" t="s">
        <v>64</v>
      </c>
      <c r="M56" t="s">
        <v>115</v>
      </c>
      <c r="N56" t="s">
        <v>14</v>
      </c>
      <c r="O56" t="s">
        <v>115</v>
      </c>
      <c r="P56" t="s">
        <v>189</v>
      </c>
      <c r="Q56" s="36">
        <v>46234</v>
      </c>
      <c r="R56" t="s">
        <v>190</v>
      </c>
      <c r="S56" s="36">
        <v>46253</v>
      </c>
      <c r="X56" t="s">
        <v>77</v>
      </c>
      <c r="Y56" t="s">
        <v>546</v>
      </c>
      <c r="Z56" t="s">
        <v>191</v>
      </c>
      <c r="AA56" t="s">
        <v>192</v>
      </c>
      <c r="AB56" t="s">
        <v>42</v>
      </c>
      <c r="AC56" t="s">
        <v>53</v>
      </c>
      <c r="AD56" s="36">
        <v>46268</v>
      </c>
      <c r="AE56" t="s">
        <v>93</v>
      </c>
      <c r="AF56" s="36">
        <v>46253</v>
      </c>
      <c r="AG56" t="s">
        <v>214</v>
      </c>
      <c r="AH56" s="43">
        <v>100</v>
      </c>
      <c r="AI56" s="43">
        <v>100</v>
      </c>
      <c r="AJ56" s="44">
        <v>100</v>
      </c>
      <c r="AK56" t="s">
        <v>697</v>
      </c>
      <c r="AM56" t="s">
        <v>697</v>
      </c>
      <c r="AN56" s="39" t="str">
        <f>VLOOKUP(M56,[1]municipios!$B:$D,3,0)</f>
        <v>CAMPO GRANDE INTERIOR</v>
      </c>
      <c r="AO56" s="37">
        <f t="shared" ca="1" si="0"/>
        <v>152</v>
      </c>
      <c r="AP56" s="38" t="str">
        <f t="shared" ca="1" si="1"/>
        <v>&gt;50 dias</v>
      </c>
      <c r="AQ56" s="39" t="str">
        <f t="shared" ca="1" si="2"/>
        <v>Dentro</v>
      </c>
      <c r="AR56" s="39" t="str">
        <f t="shared" ca="1" si="3"/>
        <v>Não risco</v>
      </c>
      <c r="AS56" s="37" t="str">
        <f t="shared" si="6"/>
        <v>Sim</v>
      </c>
      <c r="AT56" s="39">
        <f t="shared" ca="1" si="4"/>
        <v>19</v>
      </c>
      <c r="AU56" s="47" t="str">
        <f>VLOOKUP(X56,'pontos focais'!C:D,2,0)</f>
        <v>DCMD Manutenção</v>
      </c>
      <c r="AV56" s="41">
        <f t="shared" si="5"/>
        <v>-46234</v>
      </c>
    </row>
    <row r="57" spans="1:48" x14ac:dyDescent="0.25">
      <c r="A57" t="s">
        <v>726</v>
      </c>
      <c r="B57" t="s">
        <v>53</v>
      </c>
      <c r="C57" t="s">
        <v>54</v>
      </c>
      <c r="D57" t="s">
        <v>55</v>
      </c>
      <c r="E57" s="36">
        <v>46117</v>
      </c>
      <c r="F57" t="s">
        <v>88</v>
      </c>
      <c r="G57" t="s">
        <v>111</v>
      </c>
      <c r="H57" t="s">
        <v>111</v>
      </c>
      <c r="I57" t="s">
        <v>697</v>
      </c>
      <c r="J57" t="s">
        <v>697</v>
      </c>
      <c r="K57" t="s">
        <v>697</v>
      </c>
      <c r="L57" t="s">
        <v>39</v>
      </c>
      <c r="M57" t="s">
        <v>52</v>
      </c>
      <c r="N57" t="s">
        <v>14</v>
      </c>
      <c r="O57" t="s">
        <v>52</v>
      </c>
      <c r="P57" t="s">
        <v>193</v>
      </c>
      <c r="Q57" s="36">
        <v>46237</v>
      </c>
      <c r="R57" t="s">
        <v>194</v>
      </c>
      <c r="S57" s="36">
        <v>46247</v>
      </c>
      <c r="T57" t="s">
        <v>608</v>
      </c>
      <c r="U57" s="36">
        <v>46248</v>
      </c>
      <c r="W57" s="36">
        <v>46247</v>
      </c>
      <c r="X57" t="s">
        <v>88</v>
      </c>
      <c r="Y57" t="s">
        <v>546</v>
      </c>
      <c r="Z57" t="s">
        <v>195</v>
      </c>
      <c r="AA57" t="s">
        <v>106</v>
      </c>
      <c r="AB57" t="s">
        <v>42</v>
      </c>
      <c r="AC57" t="s">
        <v>53</v>
      </c>
      <c r="AD57" s="36">
        <v>46268</v>
      </c>
      <c r="AE57" t="s">
        <v>93</v>
      </c>
      <c r="AF57" s="36">
        <v>46247</v>
      </c>
      <c r="AG57" t="s">
        <v>214</v>
      </c>
      <c r="AH57" s="43">
        <v>100</v>
      </c>
      <c r="AI57" s="43">
        <v>100</v>
      </c>
      <c r="AJ57" s="44">
        <v>75</v>
      </c>
      <c r="AK57" t="s">
        <v>697</v>
      </c>
      <c r="AM57" t="s">
        <v>697</v>
      </c>
      <c r="AN57" s="39" t="str">
        <f>VLOOKUP(M57,[1]municipios!$B:$D,3,0)</f>
        <v>NOVA ANDRADINA</v>
      </c>
      <c r="AO57" s="37">
        <f t="shared" ca="1" si="0"/>
        <v>171</v>
      </c>
      <c r="AP57" s="38" t="str">
        <f t="shared" ca="1" si="1"/>
        <v>&gt;50 dias</v>
      </c>
      <c r="AQ57" s="39" t="str">
        <f t="shared" ca="1" si="2"/>
        <v>Dentro</v>
      </c>
      <c r="AR57" s="39" t="str">
        <f t="shared" ca="1" si="3"/>
        <v>Não risco</v>
      </c>
      <c r="AS57" s="37" t="str">
        <f t="shared" si="6"/>
        <v>Sim</v>
      </c>
      <c r="AT57" s="39">
        <f t="shared" ca="1" si="4"/>
        <v>10</v>
      </c>
      <c r="AU57" s="47" t="str">
        <f>VLOOKUP(X57,'pontos focais'!C:D,2,0)</f>
        <v>DESC Agentes de Relacionamento</v>
      </c>
      <c r="AV57" s="41">
        <f t="shared" si="5"/>
        <v>11</v>
      </c>
    </row>
    <row r="58" spans="1:48" x14ac:dyDescent="0.25">
      <c r="A58" t="s">
        <v>796</v>
      </c>
      <c r="B58" t="s">
        <v>53</v>
      </c>
      <c r="C58" t="s">
        <v>54</v>
      </c>
      <c r="D58" t="s">
        <v>55</v>
      </c>
      <c r="E58" s="36">
        <v>46140</v>
      </c>
      <c r="F58" t="s">
        <v>56</v>
      </c>
      <c r="G58" t="s">
        <v>111</v>
      </c>
      <c r="H58" t="s">
        <v>111</v>
      </c>
      <c r="I58" t="s">
        <v>697</v>
      </c>
      <c r="J58" t="s">
        <v>697</v>
      </c>
      <c r="K58" t="s">
        <v>697</v>
      </c>
      <c r="L58" t="s">
        <v>57</v>
      </c>
      <c r="M58" t="s">
        <v>163</v>
      </c>
      <c r="N58" t="s">
        <v>14</v>
      </c>
      <c r="O58" t="s">
        <v>163</v>
      </c>
      <c r="P58" t="s">
        <v>197</v>
      </c>
      <c r="Q58" s="36">
        <v>46237</v>
      </c>
      <c r="R58" t="s">
        <v>60</v>
      </c>
      <c r="S58" s="36">
        <v>46273</v>
      </c>
      <c r="U58" s="36">
        <v>46248</v>
      </c>
      <c r="W58" s="36">
        <v>46262</v>
      </c>
      <c r="X58" t="s">
        <v>56</v>
      </c>
      <c r="Y58" t="s">
        <v>219</v>
      </c>
      <c r="Z58" t="s">
        <v>198</v>
      </c>
      <c r="AA58" t="s">
        <v>199</v>
      </c>
      <c r="AB58" t="s">
        <v>42</v>
      </c>
      <c r="AC58" t="s">
        <v>53</v>
      </c>
      <c r="AD58" s="36">
        <v>46273</v>
      </c>
      <c r="AE58" t="s">
        <v>114</v>
      </c>
      <c r="AF58" s="36">
        <v>46273</v>
      </c>
      <c r="AG58" t="s">
        <v>114</v>
      </c>
      <c r="AH58" s="43">
        <v>100</v>
      </c>
      <c r="AI58" s="43">
        <v>100</v>
      </c>
      <c r="AJ58" s="44">
        <v>100</v>
      </c>
      <c r="AK58" t="s">
        <v>697</v>
      </c>
      <c r="AM58" t="s">
        <v>697</v>
      </c>
      <c r="AN58" s="39" t="str">
        <f>VLOOKUP(M58,[1]municipios!$B:$D,3,0)</f>
        <v>CORUMBA</v>
      </c>
      <c r="AO58" s="37">
        <f t="shared" ca="1" si="0"/>
        <v>148</v>
      </c>
      <c r="AP58" s="38" t="str">
        <f t="shared" ca="1" si="1"/>
        <v>&gt;50 dias</v>
      </c>
      <c r="AQ58" s="39" t="str">
        <f t="shared" ca="1" si="2"/>
        <v>Fora</v>
      </c>
      <c r="AR58" s="39" t="str">
        <f t="shared" ca="1" si="3"/>
        <v>Não risco</v>
      </c>
      <c r="AS58" s="37" t="str">
        <f t="shared" si="6"/>
        <v>Sim</v>
      </c>
      <c r="AT58" s="39">
        <f t="shared" ca="1" si="4"/>
        <v>36</v>
      </c>
      <c r="AU58" s="47" t="str">
        <f>VLOOKUP(X58,'pontos focais'!C:D,2,0)</f>
        <v>DESC Agentes de Relacionamento</v>
      </c>
      <c r="AV58" s="41">
        <f t="shared" si="5"/>
        <v>11</v>
      </c>
    </row>
    <row r="59" spans="1:48" x14ac:dyDescent="0.25">
      <c r="A59" t="s">
        <v>698</v>
      </c>
      <c r="B59" t="s">
        <v>53</v>
      </c>
      <c r="C59" t="s">
        <v>54</v>
      </c>
      <c r="D59" t="s">
        <v>55</v>
      </c>
      <c r="E59" s="36">
        <v>46141</v>
      </c>
      <c r="F59" t="s">
        <v>56</v>
      </c>
      <c r="G59" t="s">
        <v>111</v>
      </c>
      <c r="H59" t="s">
        <v>38</v>
      </c>
      <c r="I59" t="s">
        <v>697</v>
      </c>
      <c r="J59" t="s">
        <v>697</v>
      </c>
      <c r="K59" t="s">
        <v>697</v>
      </c>
      <c r="L59" t="s">
        <v>57</v>
      </c>
      <c r="M59" t="s">
        <v>58</v>
      </c>
      <c r="N59" t="s">
        <v>14</v>
      </c>
      <c r="O59" t="s">
        <v>58</v>
      </c>
      <c r="P59" t="s">
        <v>59</v>
      </c>
      <c r="Q59" s="36">
        <v>46237</v>
      </c>
      <c r="R59" t="s">
        <v>60</v>
      </c>
      <c r="S59" s="36">
        <v>46237</v>
      </c>
      <c r="T59" t="s">
        <v>61</v>
      </c>
      <c r="U59" s="36">
        <v>46248</v>
      </c>
      <c r="W59" s="36">
        <v>46237</v>
      </c>
      <c r="X59" t="s">
        <v>56</v>
      </c>
      <c r="Y59" t="s">
        <v>62</v>
      </c>
      <c r="AA59" t="s">
        <v>63</v>
      </c>
      <c r="AB59" t="s">
        <v>42</v>
      </c>
      <c r="AC59" t="s">
        <v>53</v>
      </c>
      <c r="AD59" s="36">
        <v>46268</v>
      </c>
      <c r="AE59" t="s">
        <v>93</v>
      </c>
      <c r="AF59" s="36">
        <v>46237</v>
      </c>
      <c r="AG59" t="s">
        <v>63</v>
      </c>
      <c r="AH59" s="43">
        <v>100</v>
      </c>
      <c r="AI59" s="43">
        <v>100</v>
      </c>
      <c r="AJ59" s="44">
        <v>75</v>
      </c>
      <c r="AK59" t="s">
        <v>697</v>
      </c>
      <c r="AM59" t="s">
        <v>697</v>
      </c>
      <c r="AN59" s="39" t="str">
        <f>VLOOKUP(M59,[1]municipios!$B:$D,3,0)</f>
        <v>AQUIDAUANA</v>
      </c>
      <c r="AO59" s="37">
        <f t="shared" ca="1" si="0"/>
        <v>147</v>
      </c>
      <c r="AP59" s="38" t="str">
        <f t="shared" ca="1" si="1"/>
        <v>&gt;50 dias</v>
      </c>
      <c r="AQ59" s="39" t="str">
        <f t="shared" ca="1" si="2"/>
        <v>Dentro</v>
      </c>
      <c r="AR59" s="39" t="str">
        <f t="shared" ca="1" si="3"/>
        <v>Não risco</v>
      </c>
      <c r="AS59" s="37" t="str">
        <f t="shared" si="6"/>
        <v>Sim</v>
      </c>
      <c r="AT59" s="39">
        <f t="shared" ca="1" si="4"/>
        <v>0</v>
      </c>
      <c r="AU59" s="47" t="str">
        <f>VLOOKUP(X59,'pontos focais'!C:D,2,0)</f>
        <v>DESC Agentes de Relacionamento</v>
      </c>
      <c r="AV59" s="41">
        <f t="shared" si="5"/>
        <v>11</v>
      </c>
    </row>
    <row r="60" spans="1:48" x14ac:dyDescent="0.25">
      <c r="A60" t="s">
        <v>698</v>
      </c>
      <c r="B60" t="s">
        <v>53</v>
      </c>
      <c r="C60" t="s">
        <v>133</v>
      </c>
      <c r="D60" t="s">
        <v>55</v>
      </c>
      <c r="E60" s="36">
        <v>46141</v>
      </c>
      <c r="F60" t="s">
        <v>56</v>
      </c>
      <c r="G60" t="s">
        <v>111</v>
      </c>
      <c r="H60" t="s">
        <v>111</v>
      </c>
      <c r="I60" t="s">
        <v>697</v>
      </c>
      <c r="J60" t="s">
        <v>697</v>
      </c>
      <c r="K60" t="s">
        <v>697</v>
      </c>
      <c r="L60" t="s">
        <v>57</v>
      </c>
      <c r="M60" t="s">
        <v>58</v>
      </c>
      <c r="N60" t="s">
        <v>14</v>
      </c>
      <c r="O60" t="s">
        <v>58</v>
      </c>
      <c r="P60" t="s">
        <v>59</v>
      </c>
      <c r="Q60" s="36">
        <v>46245</v>
      </c>
      <c r="R60" t="s">
        <v>200</v>
      </c>
      <c r="S60" s="36">
        <v>46247</v>
      </c>
      <c r="T60" t="s">
        <v>609</v>
      </c>
      <c r="W60" s="36">
        <v>46247</v>
      </c>
      <c r="X60" t="s">
        <v>56</v>
      </c>
      <c r="Y60" t="s">
        <v>546</v>
      </c>
      <c r="AA60" t="s">
        <v>63</v>
      </c>
      <c r="AB60" t="s">
        <v>42</v>
      </c>
      <c r="AC60" t="s">
        <v>53</v>
      </c>
      <c r="AD60" s="36">
        <v>46268</v>
      </c>
      <c r="AE60" t="s">
        <v>93</v>
      </c>
      <c r="AF60" s="36">
        <v>46247</v>
      </c>
      <c r="AG60" t="s">
        <v>214</v>
      </c>
      <c r="AH60" s="43">
        <v>100</v>
      </c>
      <c r="AI60" s="43">
        <v>100</v>
      </c>
      <c r="AJ60" s="44">
        <v>75</v>
      </c>
      <c r="AK60" t="s">
        <v>697</v>
      </c>
      <c r="AM60" t="s">
        <v>697</v>
      </c>
      <c r="AN60" s="39" t="str">
        <f>VLOOKUP(M60,[1]municipios!$B:$D,3,0)</f>
        <v>AQUIDAUANA</v>
      </c>
      <c r="AO60" s="37">
        <f t="shared" ca="1" si="0"/>
        <v>147</v>
      </c>
      <c r="AP60" s="38" t="str">
        <f t="shared" ca="1" si="1"/>
        <v>&gt;50 dias</v>
      </c>
      <c r="AQ60" s="39" t="str">
        <f t="shared" ca="1" si="2"/>
        <v>Dentro</v>
      </c>
      <c r="AR60" s="39" t="str">
        <f t="shared" ca="1" si="3"/>
        <v>Não risco</v>
      </c>
      <c r="AS60" s="37" t="str">
        <f t="shared" si="6"/>
        <v>Sim</v>
      </c>
      <c r="AT60" s="39">
        <f t="shared" ca="1" si="4"/>
        <v>2</v>
      </c>
      <c r="AU60" s="47" t="str">
        <f>VLOOKUP(X60,'pontos focais'!C:D,2,0)</f>
        <v>DESC Agentes de Relacionamento</v>
      </c>
      <c r="AV60" s="41">
        <f t="shared" si="5"/>
        <v>-46245</v>
      </c>
    </row>
    <row r="61" spans="1:48" x14ac:dyDescent="0.25">
      <c r="A61" t="s">
        <v>727</v>
      </c>
      <c r="B61" t="s">
        <v>53</v>
      </c>
      <c r="C61" t="s">
        <v>54</v>
      </c>
      <c r="D61" t="s">
        <v>55</v>
      </c>
      <c r="E61" s="36">
        <v>46182</v>
      </c>
      <c r="F61" t="s">
        <v>56</v>
      </c>
      <c r="G61" t="s">
        <v>111</v>
      </c>
      <c r="H61" t="s">
        <v>111</v>
      </c>
      <c r="I61" t="s">
        <v>697</v>
      </c>
      <c r="J61" t="s">
        <v>697</v>
      </c>
      <c r="K61" t="s">
        <v>697</v>
      </c>
      <c r="L61" t="s">
        <v>64</v>
      </c>
      <c r="M61" t="s">
        <v>124</v>
      </c>
      <c r="N61" t="s">
        <v>14</v>
      </c>
      <c r="O61" t="s">
        <v>124</v>
      </c>
      <c r="P61" t="s">
        <v>201</v>
      </c>
      <c r="Q61" s="36">
        <v>46237</v>
      </c>
      <c r="R61" t="s">
        <v>60</v>
      </c>
      <c r="S61" s="36">
        <v>46253</v>
      </c>
      <c r="U61" s="36">
        <v>46248</v>
      </c>
      <c r="W61" s="36">
        <v>46253</v>
      </c>
      <c r="X61" t="s">
        <v>56</v>
      </c>
      <c r="Y61" t="s">
        <v>546</v>
      </c>
      <c r="AA61" t="s">
        <v>697</v>
      </c>
      <c r="AB61" t="s">
        <v>42</v>
      </c>
      <c r="AC61" t="s">
        <v>53</v>
      </c>
      <c r="AD61" s="36">
        <v>46268</v>
      </c>
      <c r="AE61" t="s">
        <v>93</v>
      </c>
      <c r="AF61" s="36">
        <v>46253</v>
      </c>
      <c r="AG61" t="s">
        <v>214</v>
      </c>
      <c r="AH61" s="43">
        <v>100</v>
      </c>
      <c r="AI61" s="43">
        <v>100</v>
      </c>
      <c r="AJ61" s="44">
        <v>100</v>
      </c>
      <c r="AK61" t="s">
        <v>697</v>
      </c>
      <c r="AM61" t="s">
        <v>697</v>
      </c>
      <c r="AN61" s="39" t="str">
        <f>VLOOKUP(M61,[1]municipios!$B:$D,3,0)</f>
        <v>PARANAIBA</v>
      </c>
      <c r="AO61" s="37">
        <f t="shared" ca="1" si="0"/>
        <v>106</v>
      </c>
      <c r="AP61" s="38" t="str">
        <f t="shared" ca="1" si="1"/>
        <v>&gt;50 dias</v>
      </c>
      <c r="AQ61" s="39" t="str">
        <f t="shared" ca="1" si="2"/>
        <v>Fora</v>
      </c>
      <c r="AR61" s="39" t="str">
        <f t="shared" ca="1" si="3"/>
        <v>Não risco</v>
      </c>
      <c r="AS61" s="37" t="str">
        <f t="shared" si="6"/>
        <v>Sim</v>
      </c>
      <c r="AT61" s="39">
        <f t="shared" ca="1" si="4"/>
        <v>16</v>
      </c>
      <c r="AU61" s="47" t="str">
        <f>VLOOKUP(X61,'pontos focais'!C:D,2,0)</f>
        <v>DESC Agentes de Relacionamento</v>
      </c>
      <c r="AV61" s="41">
        <f t="shared" si="5"/>
        <v>11</v>
      </c>
    </row>
    <row r="62" spans="1:48" x14ac:dyDescent="0.25">
      <c r="A62" t="s">
        <v>728</v>
      </c>
      <c r="B62" t="s">
        <v>53</v>
      </c>
      <c r="C62" t="s">
        <v>54</v>
      </c>
      <c r="D62" t="s">
        <v>55</v>
      </c>
      <c r="E62" s="36">
        <v>46126</v>
      </c>
      <c r="F62" t="s">
        <v>88</v>
      </c>
      <c r="G62" t="s">
        <v>111</v>
      </c>
      <c r="H62" t="s">
        <v>111</v>
      </c>
      <c r="I62" t="s">
        <v>697</v>
      </c>
      <c r="J62" t="s">
        <v>697</v>
      </c>
      <c r="K62" t="s">
        <v>697</v>
      </c>
      <c r="L62" t="s">
        <v>697</v>
      </c>
      <c r="M62" t="s">
        <v>45</v>
      </c>
      <c r="N62" t="s">
        <v>14</v>
      </c>
      <c r="O62" t="s">
        <v>697</v>
      </c>
      <c r="P62" t="s">
        <v>202</v>
      </c>
      <c r="Q62" s="36">
        <v>46237</v>
      </c>
      <c r="R62" t="s">
        <v>60</v>
      </c>
      <c r="S62" s="36">
        <v>46247</v>
      </c>
      <c r="T62" t="s">
        <v>610</v>
      </c>
      <c r="U62" s="36">
        <v>46248</v>
      </c>
      <c r="W62" s="36">
        <v>46247</v>
      </c>
      <c r="X62" t="s">
        <v>56</v>
      </c>
      <c r="Y62" t="s">
        <v>546</v>
      </c>
      <c r="AA62" t="s">
        <v>106</v>
      </c>
      <c r="AB62" t="s">
        <v>42</v>
      </c>
      <c r="AC62" t="s">
        <v>53</v>
      </c>
      <c r="AD62" s="36">
        <v>46268</v>
      </c>
      <c r="AE62" t="s">
        <v>93</v>
      </c>
      <c r="AF62" s="36">
        <v>46247</v>
      </c>
      <c r="AG62" t="s">
        <v>214</v>
      </c>
      <c r="AH62" s="43">
        <v>100</v>
      </c>
      <c r="AI62" s="43">
        <v>100</v>
      </c>
      <c r="AJ62" s="44">
        <v>75</v>
      </c>
      <c r="AK62" t="s">
        <v>697</v>
      </c>
      <c r="AM62" t="s">
        <v>697</v>
      </c>
      <c r="AN62" s="39" t="str">
        <f>VLOOKUP(M62,[1]municipios!$B:$D,3,0)</f>
        <v>DOURADOS</v>
      </c>
      <c r="AO62" s="37">
        <f t="shared" ca="1" si="0"/>
        <v>162</v>
      </c>
      <c r="AP62" s="38" t="str">
        <f t="shared" ca="1" si="1"/>
        <v>&gt;50 dias</v>
      </c>
      <c r="AQ62" s="39" t="str">
        <f t="shared" ca="1" si="2"/>
        <v>Dentro</v>
      </c>
      <c r="AR62" s="39" t="str">
        <f t="shared" ca="1" si="3"/>
        <v>Não risco</v>
      </c>
      <c r="AS62" s="37" t="str">
        <f t="shared" si="6"/>
        <v>Sim</v>
      </c>
      <c r="AT62" s="39">
        <f t="shared" ca="1" si="4"/>
        <v>10</v>
      </c>
      <c r="AU62" s="47" t="str">
        <f>VLOOKUP(X62,'pontos focais'!C:D,2,0)</f>
        <v>DESC Agentes de Relacionamento</v>
      </c>
      <c r="AV62" s="41">
        <f t="shared" si="5"/>
        <v>11</v>
      </c>
    </row>
    <row r="63" spans="1:48" x14ac:dyDescent="0.25">
      <c r="A63" t="s">
        <v>729</v>
      </c>
      <c r="B63" t="s">
        <v>53</v>
      </c>
      <c r="C63" t="s">
        <v>54</v>
      </c>
      <c r="D63" t="s">
        <v>55</v>
      </c>
      <c r="E63" s="36">
        <v>46136</v>
      </c>
      <c r="F63" t="s">
        <v>56</v>
      </c>
      <c r="G63" t="s">
        <v>111</v>
      </c>
      <c r="H63" t="s">
        <v>111</v>
      </c>
      <c r="I63" t="s">
        <v>697</v>
      </c>
      <c r="J63" t="s">
        <v>697</v>
      </c>
      <c r="K63" t="s">
        <v>697</v>
      </c>
      <c r="L63" t="s">
        <v>64</v>
      </c>
      <c r="M63" t="s">
        <v>119</v>
      </c>
      <c r="N63" t="s">
        <v>14</v>
      </c>
      <c r="O63" t="s">
        <v>119</v>
      </c>
      <c r="P63" t="s">
        <v>549</v>
      </c>
      <c r="Q63" s="36">
        <v>46237</v>
      </c>
      <c r="R63" t="s">
        <v>60</v>
      </c>
      <c r="S63" s="36">
        <v>46246</v>
      </c>
      <c r="T63" t="s">
        <v>550</v>
      </c>
      <c r="U63" s="36">
        <v>46248</v>
      </c>
      <c r="W63" s="36">
        <v>46246</v>
      </c>
      <c r="X63" t="s">
        <v>56</v>
      </c>
      <c r="Y63" t="s">
        <v>70</v>
      </c>
      <c r="AA63" t="s">
        <v>192</v>
      </c>
      <c r="AB63" t="s">
        <v>42</v>
      </c>
      <c r="AC63" t="s">
        <v>53</v>
      </c>
      <c r="AD63" s="36">
        <v>46268</v>
      </c>
      <c r="AE63" t="s">
        <v>93</v>
      </c>
      <c r="AF63" s="36">
        <v>46246</v>
      </c>
      <c r="AG63" t="s">
        <v>71</v>
      </c>
      <c r="AH63" s="43">
        <v>100</v>
      </c>
      <c r="AI63" s="43">
        <v>100</v>
      </c>
      <c r="AJ63" s="44">
        <v>75</v>
      </c>
      <c r="AK63" t="s">
        <v>697</v>
      </c>
      <c r="AM63" t="s">
        <v>697</v>
      </c>
      <c r="AN63" s="39" t="str">
        <f>VLOOKUP(M63,[1]municipios!$B:$D,3,0)</f>
        <v>CAMPO GRANDE INTERIOR</v>
      </c>
      <c r="AO63" s="37">
        <f t="shared" ca="1" si="0"/>
        <v>152</v>
      </c>
      <c r="AP63" s="38" t="str">
        <f t="shared" ca="1" si="1"/>
        <v>&gt;50 dias</v>
      </c>
      <c r="AQ63" s="39" t="str">
        <f t="shared" ca="1" si="2"/>
        <v>Dentro</v>
      </c>
      <c r="AR63" s="39" t="str">
        <f t="shared" ca="1" si="3"/>
        <v>Não risco</v>
      </c>
      <c r="AS63" s="37" t="str">
        <f t="shared" si="6"/>
        <v>Sim</v>
      </c>
      <c r="AT63" s="39">
        <f t="shared" ca="1" si="4"/>
        <v>9</v>
      </c>
      <c r="AU63" s="47" t="str">
        <f>VLOOKUP(X63,'pontos focais'!C:D,2,0)</f>
        <v>DESC Agentes de Relacionamento</v>
      </c>
      <c r="AV63" s="41">
        <f t="shared" si="5"/>
        <v>11</v>
      </c>
    </row>
    <row r="64" spans="1:48" x14ac:dyDescent="0.25">
      <c r="A64" t="s">
        <v>731</v>
      </c>
      <c r="B64" t="s">
        <v>53</v>
      </c>
      <c r="C64" t="s">
        <v>133</v>
      </c>
      <c r="D64" t="s">
        <v>118</v>
      </c>
      <c r="E64" s="36">
        <v>46238</v>
      </c>
      <c r="F64" t="s">
        <v>67</v>
      </c>
      <c r="G64" t="s">
        <v>111</v>
      </c>
      <c r="H64" t="s">
        <v>111</v>
      </c>
      <c r="I64" t="s">
        <v>697</v>
      </c>
      <c r="J64" t="s">
        <v>697</v>
      </c>
      <c r="K64" t="s">
        <v>697</v>
      </c>
      <c r="L64" t="s">
        <v>64</v>
      </c>
      <c r="M64" t="s">
        <v>65</v>
      </c>
      <c r="N64" t="s">
        <v>68</v>
      </c>
      <c r="O64" t="s">
        <v>65</v>
      </c>
      <c r="P64" t="s">
        <v>137</v>
      </c>
      <c r="Q64" s="36">
        <v>46239</v>
      </c>
      <c r="R64" t="s">
        <v>138</v>
      </c>
      <c r="S64" s="36">
        <v>46245</v>
      </c>
      <c r="U64" s="36">
        <v>46239</v>
      </c>
      <c r="W64" s="36">
        <v>46239</v>
      </c>
      <c r="X64" t="s">
        <v>71</v>
      </c>
      <c r="Y64" t="s">
        <v>70</v>
      </c>
      <c r="Z64" t="s">
        <v>139</v>
      </c>
      <c r="AA64" t="s">
        <v>67</v>
      </c>
      <c r="AB64" t="s">
        <v>42</v>
      </c>
      <c r="AC64" t="s">
        <v>53</v>
      </c>
      <c r="AD64" s="36">
        <v>46268</v>
      </c>
      <c r="AE64" t="s">
        <v>93</v>
      </c>
      <c r="AF64" s="36">
        <v>46245</v>
      </c>
      <c r="AG64" t="s">
        <v>71</v>
      </c>
      <c r="AH64" s="43">
        <v>25</v>
      </c>
      <c r="AI64" s="43">
        <v>25</v>
      </c>
      <c r="AJ64" s="44">
        <v>25</v>
      </c>
      <c r="AK64" t="s">
        <v>697</v>
      </c>
      <c r="AM64" t="s">
        <v>697</v>
      </c>
      <c r="AN64" s="39" t="str">
        <f>VLOOKUP(M64,[1]municipios!$B:$D,3,0)</f>
        <v>CAMPO GRANDE</v>
      </c>
      <c r="AO64" s="37">
        <f t="shared" ca="1" si="0"/>
        <v>50</v>
      </c>
      <c r="AP64" s="38" t="str">
        <f t="shared" ca="1" si="1"/>
        <v>&gt;50 dias</v>
      </c>
      <c r="AQ64" s="39" t="str">
        <f t="shared" ca="1" si="2"/>
        <v>Dentro</v>
      </c>
      <c r="AR64" s="39" t="str">
        <f t="shared" ca="1" si="3"/>
        <v>Não risco</v>
      </c>
      <c r="AS64" s="37" t="e">
        <f t="shared" si="6"/>
        <v>#VALUE!</v>
      </c>
      <c r="AT64" s="39">
        <f t="shared" ca="1" si="4"/>
        <v>6</v>
      </c>
      <c r="AU64" s="47" t="str">
        <f>VLOOKUP(X64,'pontos focais'!C:D,2,0)</f>
        <v>Central do Cliente</v>
      </c>
      <c r="AV64" s="41">
        <f t="shared" si="5"/>
        <v>0</v>
      </c>
    </row>
    <row r="65" spans="1:48" x14ac:dyDescent="0.25">
      <c r="A65" t="s">
        <v>732</v>
      </c>
      <c r="B65" t="s">
        <v>53</v>
      </c>
      <c r="C65" t="s">
        <v>133</v>
      </c>
      <c r="D65" t="s">
        <v>118</v>
      </c>
      <c r="E65" s="36">
        <v>46238</v>
      </c>
      <c r="F65" t="s">
        <v>67</v>
      </c>
      <c r="G65" t="s">
        <v>111</v>
      </c>
      <c r="H65" t="s">
        <v>111</v>
      </c>
      <c r="I65" t="s">
        <v>697</v>
      </c>
      <c r="J65" t="s">
        <v>697</v>
      </c>
      <c r="K65" t="s">
        <v>697</v>
      </c>
      <c r="L65" t="s">
        <v>64</v>
      </c>
      <c r="M65" t="s">
        <v>65</v>
      </c>
      <c r="N65" t="s">
        <v>68</v>
      </c>
      <c r="O65" t="s">
        <v>65</v>
      </c>
      <c r="P65" t="s">
        <v>140</v>
      </c>
      <c r="Q65" s="36">
        <v>46239</v>
      </c>
      <c r="R65" t="s">
        <v>141</v>
      </c>
      <c r="S65" s="36">
        <v>46239</v>
      </c>
      <c r="T65" t="s">
        <v>142</v>
      </c>
      <c r="W65" s="36">
        <v>46239</v>
      </c>
      <c r="X65" t="s">
        <v>71</v>
      </c>
      <c r="Y65" t="s">
        <v>70</v>
      </c>
      <c r="Z65" t="s">
        <v>143</v>
      </c>
      <c r="AA65" t="s">
        <v>697</v>
      </c>
      <c r="AB65" t="s">
        <v>42</v>
      </c>
      <c r="AC65" t="s">
        <v>53</v>
      </c>
      <c r="AD65" s="36">
        <v>46268</v>
      </c>
      <c r="AE65" t="s">
        <v>93</v>
      </c>
      <c r="AF65" s="36">
        <v>46239</v>
      </c>
      <c r="AG65" t="s">
        <v>71</v>
      </c>
      <c r="AH65" s="43">
        <v>25</v>
      </c>
      <c r="AI65" s="43">
        <v>25</v>
      </c>
      <c r="AJ65" s="44">
        <v>25</v>
      </c>
      <c r="AK65" t="s">
        <v>697</v>
      </c>
      <c r="AM65" t="s">
        <v>697</v>
      </c>
      <c r="AN65" s="39" t="str">
        <f>VLOOKUP(M65,[1]municipios!$B:$D,3,0)</f>
        <v>CAMPO GRANDE</v>
      </c>
      <c r="AO65" s="37">
        <f t="shared" ca="1" si="0"/>
        <v>50</v>
      </c>
      <c r="AP65" s="38" t="str">
        <f t="shared" ca="1" si="1"/>
        <v>&gt;50 dias</v>
      </c>
      <c r="AQ65" s="39" t="str">
        <f t="shared" ca="1" si="2"/>
        <v>Dentro</v>
      </c>
      <c r="AR65" s="39" t="str">
        <f t="shared" ca="1" si="3"/>
        <v>Não risco</v>
      </c>
      <c r="AS65" s="37" t="e">
        <f t="shared" si="6"/>
        <v>#VALUE!</v>
      </c>
      <c r="AT65" s="39">
        <f t="shared" ca="1" si="4"/>
        <v>0</v>
      </c>
      <c r="AU65" s="47" t="str">
        <f>VLOOKUP(X65,'pontos focais'!C:D,2,0)</f>
        <v>Central do Cliente</v>
      </c>
      <c r="AV65" s="41">
        <f t="shared" si="5"/>
        <v>-46239</v>
      </c>
    </row>
    <row r="66" spans="1:48" x14ac:dyDescent="0.25">
      <c r="A66" t="s">
        <v>733</v>
      </c>
      <c r="B66" t="s">
        <v>53</v>
      </c>
      <c r="C66" t="s">
        <v>133</v>
      </c>
      <c r="D66" t="s">
        <v>118</v>
      </c>
      <c r="E66" s="36">
        <v>46238</v>
      </c>
      <c r="F66" t="s">
        <v>67</v>
      </c>
      <c r="G66" t="s">
        <v>111</v>
      </c>
      <c r="H66" t="s">
        <v>111</v>
      </c>
      <c r="I66" t="s">
        <v>697</v>
      </c>
      <c r="J66" t="s">
        <v>697</v>
      </c>
      <c r="K66" t="s">
        <v>697</v>
      </c>
      <c r="L66" t="s">
        <v>64</v>
      </c>
      <c r="M66" t="s">
        <v>65</v>
      </c>
      <c r="N66" t="s">
        <v>68</v>
      </c>
      <c r="O66" t="s">
        <v>65</v>
      </c>
      <c r="P66" t="s">
        <v>144</v>
      </c>
      <c r="Q66" s="36">
        <v>46239</v>
      </c>
      <c r="R66" t="s">
        <v>145</v>
      </c>
      <c r="S66" s="36">
        <v>46245</v>
      </c>
      <c r="U66" s="36">
        <v>46239</v>
      </c>
      <c r="W66" s="36">
        <v>46239</v>
      </c>
      <c r="X66" t="s">
        <v>71</v>
      </c>
      <c r="Y66" t="s">
        <v>70</v>
      </c>
      <c r="Z66" t="s">
        <v>146</v>
      </c>
      <c r="AA66" t="s">
        <v>67</v>
      </c>
      <c r="AB66" t="s">
        <v>42</v>
      </c>
      <c r="AC66" t="s">
        <v>53</v>
      </c>
      <c r="AD66" s="36">
        <v>46268</v>
      </c>
      <c r="AE66" t="s">
        <v>93</v>
      </c>
      <c r="AF66" s="36">
        <v>46245</v>
      </c>
      <c r="AG66" t="s">
        <v>71</v>
      </c>
      <c r="AH66" s="43">
        <v>25</v>
      </c>
      <c r="AI66" s="43">
        <v>25</v>
      </c>
      <c r="AJ66" s="44">
        <v>25</v>
      </c>
      <c r="AK66" t="s">
        <v>697</v>
      </c>
      <c r="AM66" t="s">
        <v>697</v>
      </c>
      <c r="AN66" s="39" t="str">
        <f>VLOOKUP(M66,[1]municipios!$B:$D,3,0)</f>
        <v>CAMPO GRANDE</v>
      </c>
      <c r="AO66" s="37">
        <f t="shared" ca="1" si="0"/>
        <v>50</v>
      </c>
      <c r="AP66" s="38" t="str">
        <f t="shared" ca="1" si="1"/>
        <v>&gt;50 dias</v>
      </c>
      <c r="AQ66" s="39" t="str">
        <f t="shared" ca="1" si="2"/>
        <v>Dentro</v>
      </c>
      <c r="AR66" s="39" t="str">
        <f t="shared" ca="1" si="3"/>
        <v>Não risco</v>
      </c>
      <c r="AS66" s="37" t="e">
        <f t="shared" si="6"/>
        <v>#VALUE!</v>
      </c>
      <c r="AT66" s="39">
        <f t="shared" ca="1" si="4"/>
        <v>6</v>
      </c>
      <c r="AU66" s="47" t="str">
        <f>VLOOKUP(X66,'pontos focais'!C:D,2,0)</f>
        <v>Central do Cliente</v>
      </c>
      <c r="AV66" s="41">
        <f t="shared" si="5"/>
        <v>0</v>
      </c>
    </row>
    <row r="67" spans="1:48" x14ac:dyDescent="0.25">
      <c r="A67" t="s">
        <v>733</v>
      </c>
      <c r="B67" t="s">
        <v>53</v>
      </c>
      <c r="C67" t="s">
        <v>133</v>
      </c>
      <c r="D67" t="s">
        <v>103</v>
      </c>
      <c r="E67" s="36">
        <v>46238</v>
      </c>
      <c r="F67" t="s">
        <v>67</v>
      </c>
      <c r="G67" t="s">
        <v>111</v>
      </c>
      <c r="H67" t="s">
        <v>111</v>
      </c>
      <c r="I67" t="s">
        <v>697</v>
      </c>
      <c r="J67" t="s">
        <v>697</v>
      </c>
      <c r="K67" t="s">
        <v>697</v>
      </c>
      <c r="L67" t="s">
        <v>64</v>
      </c>
      <c r="M67" t="s">
        <v>65</v>
      </c>
      <c r="N67" t="s">
        <v>68</v>
      </c>
      <c r="O67" t="s">
        <v>65</v>
      </c>
      <c r="P67" t="s">
        <v>144</v>
      </c>
      <c r="Q67" s="36">
        <v>46239</v>
      </c>
      <c r="R67" t="s">
        <v>145</v>
      </c>
      <c r="S67" s="36">
        <v>46245</v>
      </c>
      <c r="U67" s="36">
        <v>46239</v>
      </c>
      <c r="W67" s="36">
        <v>46239</v>
      </c>
      <c r="X67" t="s">
        <v>71</v>
      </c>
      <c r="Y67" t="s">
        <v>70</v>
      </c>
      <c r="Z67" t="s">
        <v>146</v>
      </c>
      <c r="AA67" t="s">
        <v>67</v>
      </c>
      <c r="AB67" t="s">
        <v>42</v>
      </c>
      <c r="AC67" t="s">
        <v>53</v>
      </c>
      <c r="AD67" s="36">
        <v>46268</v>
      </c>
      <c r="AE67" t="s">
        <v>93</v>
      </c>
      <c r="AF67" s="36">
        <v>46245</v>
      </c>
      <c r="AG67" t="s">
        <v>71</v>
      </c>
      <c r="AH67" s="43">
        <v>25</v>
      </c>
      <c r="AI67" s="43">
        <v>25</v>
      </c>
      <c r="AJ67" s="44">
        <v>25</v>
      </c>
      <c r="AK67" t="s">
        <v>697</v>
      </c>
      <c r="AM67" t="s">
        <v>697</v>
      </c>
      <c r="AN67" s="39" t="str">
        <f>VLOOKUP(M67,[1]municipios!$B:$D,3,0)</f>
        <v>CAMPO GRANDE</v>
      </c>
      <c r="AO67" s="37">
        <f t="shared" ref="AO67:AO130" ca="1" si="7">TODAY()-E67</f>
        <v>50</v>
      </c>
      <c r="AP67" s="38" t="str">
        <f t="shared" ref="AP67:AP130" ca="1" si="8">IF(AO67&lt;=5,"0–5 dias",IF(AO67&lt;=15,"6–15 dias",IF(AO67&lt;=16,"16–30 dias",IF(AO67&lt;=30,"30–50 dias","&gt;50 dias"))))</f>
        <v>&gt;50 dias</v>
      </c>
      <c r="AQ67" s="39" t="str">
        <f t="shared" ref="AQ67:AQ130" ca="1" si="9">IF(U67="","Dentro",(IF(IF(W67="",TODAY(),W67)&lt;=U67,"Dentro","Fora")))</f>
        <v>Dentro</v>
      </c>
      <c r="AR67" s="39" t="str">
        <f t="shared" ref="AR67:AR130" ca="1" si="10">IF(U67="","Não risco",IF((TODAY()-U67)&lt;=7,"Risco","Não risco"))</f>
        <v>Não risco</v>
      </c>
      <c r="AS67" s="37" t="e">
        <f t="shared" ref="AS67:AS130" si="11">IF(SEARCH("integrar",P67)&gt;0,"Sim","Não")</f>
        <v>#VALUE!</v>
      </c>
      <c r="AT67" s="39">
        <f t="shared" ref="AT67:AT130" ca="1" si="12">IF(S67="",TODAY()-Q67,S67-Q67)</f>
        <v>6</v>
      </c>
      <c r="AU67" s="47" t="str">
        <f>VLOOKUP(X67,'pontos focais'!C:D,2,0)</f>
        <v>Central do Cliente</v>
      </c>
      <c r="AV67" s="41">
        <f t="shared" ref="AV67:AV130" si="13">U67-Q67</f>
        <v>0</v>
      </c>
    </row>
    <row r="68" spans="1:48" x14ac:dyDescent="0.25">
      <c r="A68" t="s">
        <v>733</v>
      </c>
      <c r="B68" t="s">
        <v>53</v>
      </c>
      <c r="C68" t="s">
        <v>103</v>
      </c>
      <c r="D68" t="s">
        <v>103</v>
      </c>
      <c r="E68" s="36">
        <v>46238</v>
      </c>
      <c r="F68" t="s">
        <v>67</v>
      </c>
      <c r="G68" t="s">
        <v>111</v>
      </c>
      <c r="H68" t="s">
        <v>111</v>
      </c>
      <c r="I68" t="s">
        <v>697</v>
      </c>
      <c r="J68" t="s">
        <v>697</v>
      </c>
      <c r="K68" t="s">
        <v>697</v>
      </c>
      <c r="L68" t="s">
        <v>64</v>
      </c>
      <c r="M68" t="s">
        <v>65</v>
      </c>
      <c r="N68" t="s">
        <v>68</v>
      </c>
      <c r="O68" t="s">
        <v>65</v>
      </c>
      <c r="P68" t="s">
        <v>144</v>
      </c>
      <c r="Q68" s="36">
        <v>46239</v>
      </c>
      <c r="R68" t="s">
        <v>145</v>
      </c>
      <c r="S68" s="36">
        <v>46245</v>
      </c>
      <c r="T68" t="s">
        <v>145</v>
      </c>
      <c r="X68" t="s">
        <v>71</v>
      </c>
      <c r="Y68" t="s">
        <v>70</v>
      </c>
      <c r="Z68" t="s">
        <v>146</v>
      </c>
      <c r="AA68" t="s">
        <v>67</v>
      </c>
      <c r="AB68" t="s">
        <v>42</v>
      </c>
      <c r="AC68" t="s">
        <v>53</v>
      </c>
      <c r="AD68" s="36">
        <v>46268</v>
      </c>
      <c r="AE68" t="s">
        <v>93</v>
      </c>
      <c r="AF68" s="36">
        <v>46245</v>
      </c>
      <c r="AG68" t="s">
        <v>71</v>
      </c>
      <c r="AH68" s="43">
        <v>25</v>
      </c>
      <c r="AI68" s="43">
        <v>25</v>
      </c>
      <c r="AJ68" s="44">
        <v>25</v>
      </c>
      <c r="AK68" t="s">
        <v>697</v>
      </c>
      <c r="AM68" t="s">
        <v>697</v>
      </c>
      <c r="AN68" s="39" t="str">
        <f>VLOOKUP(M68,[1]municipios!$B:$D,3,0)</f>
        <v>CAMPO GRANDE</v>
      </c>
      <c r="AO68" s="37">
        <f t="shared" ca="1" si="7"/>
        <v>50</v>
      </c>
      <c r="AP68" s="38" t="str">
        <f t="shared" ca="1" si="8"/>
        <v>&gt;50 dias</v>
      </c>
      <c r="AQ68" s="39" t="str">
        <f t="shared" ca="1" si="9"/>
        <v>Dentro</v>
      </c>
      <c r="AR68" s="39" t="str">
        <f t="shared" ca="1" si="10"/>
        <v>Não risco</v>
      </c>
      <c r="AS68" s="37" t="e">
        <f t="shared" si="11"/>
        <v>#VALUE!</v>
      </c>
      <c r="AT68" s="39">
        <f t="shared" ca="1" si="12"/>
        <v>6</v>
      </c>
      <c r="AU68" s="47" t="str">
        <f>VLOOKUP(X68,'pontos focais'!C:D,2,0)</f>
        <v>Central do Cliente</v>
      </c>
      <c r="AV68" s="41">
        <f t="shared" si="13"/>
        <v>-46239</v>
      </c>
    </row>
    <row r="69" spans="1:48" x14ac:dyDescent="0.25">
      <c r="A69" t="s">
        <v>734</v>
      </c>
      <c r="B69" t="s">
        <v>53</v>
      </c>
      <c r="C69" t="s">
        <v>133</v>
      </c>
      <c r="D69" t="s">
        <v>118</v>
      </c>
      <c r="E69" s="36">
        <v>46238</v>
      </c>
      <c r="F69" t="s">
        <v>67</v>
      </c>
      <c r="G69" t="s">
        <v>111</v>
      </c>
      <c r="H69" t="s">
        <v>111</v>
      </c>
      <c r="I69" t="s">
        <v>697</v>
      </c>
      <c r="J69" t="s">
        <v>697</v>
      </c>
      <c r="K69" t="s">
        <v>697</v>
      </c>
      <c r="L69" t="s">
        <v>64</v>
      </c>
      <c r="M69" t="s">
        <v>65</v>
      </c>
      <c r="N69" t="s">
        <v>68</v>
      </c>
      <c r="O69" t="s">
        <v>65</v>
      </c>
      <c r="P69" t="s">
        <v>147</v>
      </c>
      <c r="Q69" s="36">
        <v>46239</v>
      </c>
      <c r="R69" t="s">
        <v>148</v>
      </c>
      <c r="S69" s="36">
        <v>46239</v>
      </c>
      <c r="W69" s="36">
        <v>46239</v>
      </c>
      <c r="X69" t="s">
        <v>71</v>
      </c>
      <c r="Y69" t="s">
        <v>70</v>
      </c>
      <c r="Z69" t="s">
        <v>149</v>
      </c>
      <c r="AA69" t="s">
        <v>67</v>
      </c>
      <c r="AB69" t="s">
        <v>42</v>
      </c>
      <c r="AC69" t="s">
        <v>53</v>
      </c>
      <c r="AD69" s="36">
        <v>46268</v>
      </c>
      <c r="AE69" t="s">
        <v>93</v>
      </c>
      <c r="AF69" s="36">
        <v>46239</v>
      </c>
      <c r="AG69" t="s">
        <v>71</v>
      </c>
      <c r="AH69" s="43">
        <v>25</v>
      </c>
      <c r="AI69" s="43">
        <v>25</v>
      </c>
      <c r="AJ69" s="44">
        <v>25</v>
      </c>
      <c r="AK69" t="s">
        <v>697</v>
      </c>
      <c r="AM69" t="s">
        <v>697</v>
      </c>
      <c r="AN69" s="39" t="str">
        <f>VLOOKUP(M69,[1]municipios!$B:$D,3,0)</f>
        <v>CAMPO GRANDE</v>
      </c>
      <c r="AO69" s="37">
        <f t="shared" ca="1" si="7"/>
        <v>50</v>
      </c>
      <c r="AP69" s="38" t="str">
        <f t="shared" ca="1" si="8"/>
        <v>&gt;50 dias</v>
      </c>
      <c r="AQ69" s="39" t="str">
        <f t="shared" ca="1" si="9"/>
        <v>Dentro</v>
      </c>
      <c r="AR69" s="39" t="str">
        <f t="shared" ca="1" si="10"/>
        <v>Não risco</v>
      </c>
      <c r="AS69" s="37" t="e">
        <f t="shared" si="11"/>
        <v>#VALUE!</v>
      </c>
      <c r="AT69" s="39">
        <f t="shared" ca="1" si="12"/>
        <v>0</v>
      </c>
      <c r="AU69" s="47" t="str">
        <f>VLOOKUP(X69,'pontos focais'!C:D,2,0)</f>
        <v>Central do Cliente</v>
      </c>
      <c r="AV69" s="41">
        <f t="shared" si="13"/>
        <v>-46239</v>
      </c>
    </row>
    <row r="70" spans="1:48" x14ac:dyDescent="0.25">
      <c r="A70" t="s">
        <v>735</v>
      </c>
      <c r="B70" t="s">
        <v>53</v>
      </c>
      <c r="C70" t="s">
        <v>133</v>
      </c>
      <c r="D70" t="s">
        <v>118</v>
      </c>
      <c r="E70" s="36">
        <v>46238</v>
      </c>
      <c r="F70" t="s">
        <v>67</v>
      </c>
      <c r="G70" t="s">
        <v>111</v>
      </c>
      <c r="H70" t="s">
        <v>111</v>
      </c>
      <c r="I70" t="s">
        <v>697</v>
      </c>
      <c r="J70" t="s">
        <v>697</v>
      </c>
      <c r="K70" t="s">
        <v>697</v>
      </c>
      <c r="L70" t="s">
        <v>64</v>
      </c>
      <c r="M70" t="s">
        <v>65</v>
      </c>
      <c r="N70" t="s">
        <v>68</v>
      </c>
      <c r="O70" t="s">
        <v>65</v>
      </c>
      <c r="P70" t="s">
        <v>150</v>
      </c>
      <c r="Q70" s="36">
        <v>46239</v>
      </c>
      <c r="R70" t="s">
        <v>151</v>
      </c>
      <c r="S70" s="36">
        <v>46265</v>
      </c>
      <c r="U70" s="36">
        <v>46295</v>
      </c>
      <c r="W70" s="36">
        <v>46239</v>
      </c>
      <c r="X70" t="s">
        <v>71</v>
      </c>
      <c r="Y70" t="s">
        <v>82</v>
      </c>
      <c r="Z70" t="s">
        <v>152</v>
      </c>
      <c r="AA70" t="s">
        <v>67</v>
      </c>
      <c r="AB70" t="s">
        <v>42</v>
      </c>
      <c r="AC70" t="s">
        <v>53</v>
      </c>
      <c r="AD70" s="36">
        <v>46268</v>
      </c>
      <c r="AE70" t="s">
        <v>93</v>
      </c>
      <c r="AF70" s="36">
        <v>46265</v>
      </c>
      <c r="AG70" t="s">
        <v>83</v>
      </c>
      <c r="AH70" s="43">
        <v>25</v>
      </c>
      <c r="AI70" s="43">
        <v>25</v>
      </c>
      <c r="AJ70" s="44">
        <v>25</v>
      </c>
      <c r="AK70" t="s">
        <v>697</v>
      </c>
      <c r="AM70" t="s">
        <v>697</v>
      </c>
      <c r="AN70" s="39" t="str">
        <f>VLOOKUP(M70,[1]municipios!$B:$D,3,0)</f>
        <v>CAMPO GRANDE</v>
      </c>
      <c r="AO70" s="37">
        <f t="shared" ca="1" si="7"/>
        <v>50</v>
      </c>
      <c r="AP70" s="38" t="str">
        <f t="shared" ca="1" si="8"/>
        <v>&gt;50 dias</v>
      </c>
      <c r="AQ70" s="39" t="str">
        <f t="shared" ca="1" si="9"/>
        <v>Dentro</v>
      </c>
      <c r="AR70" s="39" t="str">
        <f t="shared" ca="1" si="10"/>
        <v>Risco</v>
      </c>
      <c r="AS70" s="37" t="e">
        <f t="shared" si="11"/>
        <v>#VALUE!</v>
      </c>
      <c r="AT70" s="39">
        <f t="shared" ca="1" si="12"/>
        <v>26</v>
      </c>
      <c r="AU70" s="47" t="str">
        <f>VLOOKUP(X70,'pontos focais'!C:D,2,0)</f>
        <v>Central do Cliente</v>
      </c>
      <c r="AV70" s="41">
        <f t="shared" si="13"/>
        <v>56</v>
      </c>
    </row>
    <row r="71" spans="1:48" x14ac:dyDescent="0.25">
      <c r="A71" t="s">
        <v>736</v>
      </c>
      <c r="B71" t="s">
        <v>53</v>
      </c>
      <c r="C71" t="s">
        <v>133</v>
      </c>
      <c r="D71" t="s">
        <v>118</v>
      </c>
      <c r="E71" s="36">
        <v>46238</v>
      </c>
      <c r="F71" t="s">
        <v>67</v>
      </c>
      <c r="G71" t="s">
        <v>111</v>
      </c>
      <c r="H71" t="s">
        <v>111</v>
      </c>
      <c r="I71" t="s">
        <v>697</v>
      </c>
      <c r="J71" t="s">
        <v>697</v>
      </c>
      <c r="K71" t="s">
        <v>697</v>
      </c>
      <c r="L71" t="s">
        <v>64</v>
      </c>
      <c r="M71" t="s">
        <v>65</v>
      </c>
      <c r="N71" t="s">
        <v>68</v>
      </c>
      <c r="O71" t="s">
        <v>65</v>
      </c>
      <c r="P71" t="s">
        <v>153</v>
      </c>
      <c r="Q71" s="36">
        <v>46239</v>
      </c>
      <c r="R71" t="s">
        <v>148</v>
      </c>
      <c r="S71" s="36">
        <v>46239</v>
      </c>
      <c r="W71" s="36">
        <v>46239</v>
      </c>
      <c r="X71" t="s">
        <v>71</v>
      </c>
      <c r="Y71" t="s">
        <v>70</v>
      </c>
      <c r="Z71" t="s">
        <v>154</v>
      </c>
      <c r="AA71" t="s">
        <v>67</v>
      </c>
      <c r="AB71" t="s">
        <v>42</v>
      </c>
      <c r="AC71" t="s">
        <v>53</v>
      </c>
      <c r="AD71" s="36">
        <v>46268</v>
      </c>
      <c r="AE71" t="s">
        <v>93</v>
      </c>
      <c r="AF71" s="36">
        <v>46239</v>
      </c>
      <c r="AG71" t="s">
        <v>71</v>
      </c>
      <c r="AH71" s="43">
        <v>25</v>
      </c>
      <c r="AI71" s="43">
        <v>25</v>
      </c>
      <c r="AJ71" s="44">
        <v>25</v>
      </c>
      <c r="AK71" t="s">
        <v>697</v>
      </c>
      <c r="AM71" t="s">
        <v>697</v>
      </c>
      <c r="AN71" s="39" t="str">
        <f>VLOOKUP(M71,[1]municipios!$B:$D,3,0)</f>
        <v>CAMPO GRANDE</v>
      </c>
      <c r="AO71" s="37">
        <f t="shared" ca="1" si="7"/>
        <v>50</v>
      </c>
      <c r="AP71" s="38" t="str">
        <f t="shared" ca="1" si="8"/>
        <v>&gt;50 dias</v>
      </c>
      <c r="AQ71" s="39" t="str">
        <f t="shared" ca="1" si="9"/>
        <v>Dentro</v>
      </c>
      <c r="AR71" s="39" t="str">
        <f t="shared" ca="1" si="10"/>
        <v>Não risco</v>
      </c>
      <c r="AS71" s="37" t="e">
        <f t="shared" si="11"/>
        <v>#VALUE!</v>
      </c>
      <c r="AT71" s="39">
        <f t="shared" ca="1" si="12"/>
        <v>0</v>
      </c>
      <c r="AU71" s="47" t="str">
        <f>VLOOKUP(X71,'pontos focais'!C:D,2,0)</f>
        <v>Central do Cliente</v>
      </c>
      <c r="AV71" s="41">
        <f t="shared" si="13"/>
        <v>-46239</v>
      </c>
    </row>
    <row r="72" spans="1:48" x14ac:dyDescent="0.25">
      <c r="A72" t="s">
        <v>705</v>
      </c>
      <c r="B72" t="s">
        <v>53</v>
      </c>
      <c r="C72" t="s">
        <v>43</v>
      </c>
      <c r="D72" t="s">
        <v>35</v>
      </c>
      <c r="E72" s="36">
        <v>46241</v>
      </c>
      <c r="F72" t="s">
        <v>44</v>
      </c>
      <c r="G72" t="s">
        <v>37</v>
      </c>
      <c r="H72" t="s">
        <v>37</v>
      </c>
      <c r="I72" t="s">
        <v>697</v>
      </c>
      <c r="J72" t="s">
        <v>697</v>
      </c>
      <c r="K72" t="s">
        <v>706</v>
      </c>
      <c r="L72" t="s">
        <v>64</v>
      </c>
      <c r="M72" t="s">
        <v>85</v>
      </c>
      <c r="N72" t="s">
        <v>80</v>
      </c>
      <c r="O72" t="s">
        <v>85</v>
      </c>
      <c r="P72" t="s">
        <v>206</v>
      </c>
      <c r="Q72" s="36">
        <v>46245</v>
      </c>
      <c r="R72" t="s">
        <v>207</v>
      </c>
      <c r="S72" s="36">
        <v>46280</v>
      </c>
      <c r="T72" t="s">
        <v>1077</v>
      </c>
      <c r="U72" s="36">
        <v>46255</v>
      </c>
      <c r="V72" s="36">
        <v>46292</v>
      </c>
      <c r="X72" t="s">
        <v>72</v>
      </c>
      <c r="Y72" t="s">
        <v>94</v>
      </c>
      <c r="Z72" t="s">
        <v>208</v>
      </c>
      <c r="AA72" t="s">
        <v>44</v>
      </c>
      <c r="AB72" t="s">
        <v>42</v>
      </c>
      <c r="AC72" t="s">
        <v>53</v>
      </c>
      <c r="AD72" s="36">
        <v>46280</v>
      </c>
      <c r="AE72" t="s">
        <v>72</v>
      </c>
      <c r="AF72" s="36">
        <v>46280</v>
      </c>
      <c r="AG72" t="s">
        <v>72</v>
      </c>
      <c r="AH72" s="43">
        <v>100</v>
      </c>
      <c r="AI72" s="43">
        <v>100</v>
      </c>
      <c r="AJ72" s="44">
        <v>100</v>
      </c>
      <c r="AK72" t="s">
        <v>697</v>
      </c>
      <c r="AM72" t="s">
        <v>697</v>
      </c>
      <c r="AN72" s="39" t="str">
        <f>VLOOKUP(M72,[1]municipios!$B:$D,3,0)</f>
        <v>CAMPO GRANDE INTERIOR</v>
      </c>
      <c r="AO72" s="37">
        <f t="shared" ca="1" si="7"/>
        <v>47</v>
      </c>
      <c r="AP72" s="38" t="str">
        <f t="shared" ca="1" si="8"/>
        <v>&gt;50 dias</v>
      </c>
      <c r="AQ72" s="39" t="str">
        <f t="shared" ca="1" si="9"/>
        <v>Fora</v>
      </c>
      <c r="AR72" s="39" t="str">
        <f t="shared" ca="1" si="10"/>
        <v>Não risco</v>
      </c>
      <c r="AS72" s="37" t="e">
        <f t="shared" si="11"/>
        <v>#VALUE!</v>
      </c>
      <c r="AT72" s="39">
        <f t="shared" ca="1" si="12"/>
        <v>35</v>
      </c>
      <c r="AU72" s="47" t="str">
        <f>VLOOKUP(X72,'pontos focais'!C:D,2,0)</f>
        <v>DCMD Programação de Obra</v>
      </c>
      <c r="AV72" s="41">
        <f t="shared" si="13"/>
        <v>10</v>
      </c>
    </row>
    <row r="73" spans="1:48" x14ac:dyDescent="0.25">
      <c r="A73" t="s">
        <v>707</v>
      </c>
      <c r="B73" t="s">
        <v>53</v>
      </c>
      <c r="C73" t="s">
        <v>43</v>
      </c>
      <c r="D73" t="s">
        <v>35</v>
      </c>
      <c r="E73" s="36">
        <v>46244</v>
      </c>
      <c r="F73" t="s">
        <v>44</v>
      </c>
      <c r="G73" t="s">
        <v>111</v>
      </c>
      <c r="H73" t="s">
        <v>111</v>
      </c>
      <c r="I73" t="s">
        <v>697</v>
      </c>
      <c r="J73" t="s">
        <v>697</v>
      </c>
      <c r="K73" t="s">
        <v>708</v>
      </c>
      <c r="L73" t="s">
        <v>39</v>
      </c>
      <c r="M73" t="s">
        <v>120</v>
      </c>
      <c r="N73" t="s">
        <v>80</v>
      </c>
      <c r="O73" t="s">
        <v>120</v>
      </c>
      <c r="P73" t="s">
        <v>209</v>
      </c>
      <c r="Q73" s="36">
        <v>46245</v>
      </c>
      <c r="R73" t="s">
        <v>210</v>
      </c>
      <c r="S73" s="36">
        <v>46267</v>
      </c>
      <c r="T73" t="s">
        <v>988</v>
      </c>
      <c r="U73" s="36">
        <v>46259</v>
      </c>
      <c r="V73" s="36">
        <v>46275</v>
      </c>
      <c r="W73" s="36">
        <v>46267</v>
      </c>
      <c r="X73" t="s">
        <v>72</v>
      </c>
      <c r="Y73" t="s">
        <v>70</v>
      </c>
      <c r="Z73" t="s">
        <v>211</v>
      </c>
      <c r="AA73" t="s">
        <v>44</v>
      </c>
      <c r="AB73" t="s">
        <v>42</v>
      </c>
      <c r="AC73" t="s">
        <v>53</v>
      </c>
      <c r="AD73" s="36">
        <v>46268</v>
      </c>
      <c r="AE73" t="s">
        <v>93</v>
      </c>
      <c r="AF73" s="36">
        <v>46267</v>
      </c>
      <c r="AG73" t="s">
        <v>71</v>
      </c>
      <c r="AH73" s="43">
        <v>100</v>
      </c>
      <c r="AI73" s="43">
        <v>100</v>
      </c>
      <c r="AJ73" s="44">
        <v>100</v>
      </c>
      <c r="AK73" t="s">
        <v>697</v>
      </c>
      <c r="AM73" t="s">
        <v>697</v>
      </c>
      <c r="AN73" s="39" t="str">
        <f>VLOOKUP(M73,[1]municipios!$B:$D,3,0)</f>
        <v>NOVA ANDRADINA</v>
      </c>
      <c r="AO73" s="37">
        <f t="shared" ca="1" si="7"/>
        <v>44</v>
      </c>
      <c r="AP73" s="38" t="str">
        <f t="shared" ca="1" si="8"/>
        <v>&gt;50 dias</v>
      </c>
      <c r="AQ73" s="39" t="str">
        <f t="shared" ca="1" si="9"/>
        <v>Fora</v>
      </c>
      <c r="AR73" s="39" t="str">
        <f t="shared" ca="1" si="10"/>
        <v>Não risco</v>
      </c>
      <c r="AS73" s="37" t="e">
        <f t="shared" si="11"/>
        <v>#VALUE!</v>
      </c>
      <c r="AT73" s="39">
        <f t="shared" ca="1" si="12"/>
        <v>22</v>
      </c>
      <c r="AU73" s="47" t="s">
        <v>584</v>
      </c>
      <c r="AV73" s="41">
        <f t="shared" si="13"/>
        <v>14</v>
      </c>
    </row>
    <row r="74" spans="1:48" x14ac:dyDescent="0.25">
      <c r="A74" t="s">
        <v>707</v>
      </c>
      <c r="B74" t="s">
        <v>53</v>
      </c>
      <c r="C74" t="s">
        <v>87</v>
      </c>
      <c r="D74" t="s">
        <v>78</v>
      </c>
      <c r="E74" s="36">
        <v>46244</v>
      </c>
      <c r="F74" t="s">
        <v>44</v>
      </c>
      <c r="G74" t="s">
        <v>111</v>
      </c>
      <c r="H74" t="s">
        <v>111</v>
      </c>
      <c r="I74" t="s">
        <v>697</v>
      </c>
      <c r="J74" t="s">
        <v>697</v>
      </c>
      <c r="K74" t="s">
        <v>697</v>
      </c>
      <c r="L74" t="s">
        <v>39</v>
      </c>
      <c r="M74" t="s">
        <v>120</v>
      </c>
      <c r="N74" t="s">
        <v>80</v>
      </c>
      <c r="O74" t="s">
        <v>120</v>
      </c>
      <c r="P74" t="s">
        <v>209</v>
      </c>
      <c r="Q74" s="36">
        <v>46267</v>
      </c>
      <c r="R74" t="s">
        <v>1015</v>
      </c>
      <c r="S74" s="36">
        <v>46276</v>
      </c>
      <c r="T74" t="s">
        <v>1078</v>
      </c>
      <c r="W74" s="36">
        <v>46276</v>
      </c>
      <c r="X74" t="s">
        <v>1016</v>
      </c>
      <c r="Y74" t="s">
        <v>70</v>
      </c>
      <c r="Z74" t="s">
        <v>211</v>
      </c>
      <c r="AA74" t="s">
        <v>44</v>
      </c>
      <c r="AB74" t="s">
        <v>42</v>
      </c>
      <c r="AC74" t="s">
        <v>53</v>
      </c>
      <c r="AD74" s="36">
        <v>46276</v>
      </c>
      <c r="AE74" t="s">
        <v>71</v>
      </c>
      <c r="AF74" s="36">
        <v>46276</v>
      </c>
      <c r="AG74" t="s">
        <v>71</v>
      </c>
      <c r="AH74" s="43">
        <v>100</v>
      </c>
      <c r="AI74" s="43">
        <v>100</v>
      </c>
      <c r="AJ74" s="44">
        <v>100</v>
      </c>
      <c r="AK74" t="s">
        <v>697</v>
      </c>
      <c r="AM74" t="s">
        <v>697</v>
      </c>
      <c r="AN74" s="39" t="str">
        <f>VLOOKUP(M74,[1]municipios!$B:$D,3,0)</f>
        <v>NOVA ANDRADINA</v>
      </c>
      <c r="AO74" s="37">
        <f t="shared" ca="1" si="7"/>
        <v>44</v>
      </c>
      <c r="AP74" s="38" t="str">
        <f t="shared" ca="1" si="8"/>
        <v>&gt;50 dias</v>
      </c>
      <c r="AQ74" s="39" t="str">
        <f t="shared" ca="1" si="9"/>
        <v>Dentro</v>
      </c>
      <c r="AR74" s="39" t="str">
        <f t="shared" ca="1" si="10"/>
        <v>Não risco</v>
      </c>
      <c r="AS74" s="37" t="e">
        <f t="shared" si="11"/>
        <v>#VALUE!</v>
      </c>
      <c r="AT74" s="39">
        <f t="shared" ca="1" si="12"/>
        <v>9</v>
      </c>
      <c r="AU74" s="47" t="str">
        <f>VLOOKUP(X74,'pontos focais'!C:D,2,0)</f>
        <v>DEOP COI</v>
      </c>
      <c r="AV74" s="41">
        <f t="shared" si="13"/>
        <v>-46267</v>
      </c>
    </row>
    <row r="75" spans="1:48" x14ac:dyDescent="0.25">
      <c r="A75" t="s">
        <v>798</v>
      </c>
      <c r="B75" t="s">
        <v>53</v>
      </c>
      <c r="C75" t="s">
        <v>54</v>
      </c>
      <c r="D75" t="s">
        <v>55</v>
      </c>
      <c r="E75" s="36">
        <v>46258</v>
      </c>
      <c r="F75" t="s">
        <v>114</v>
      </c>
      <c r="G75" t="s">
        <v>111</v>
      </c>
      <c r="H75" t="s">
        <v>38</v>
      </c>
      <c r="I75" t="s">
        <v>697</v>
      </c>
      <c r="J75" t="s">
        <v>697</v>
      </c>
      <c r="K75" t="s">
        <v>799</v>
      </c>
      <c r="L75" t="s">
        <v>57</v>
      </c>
      <c r="M75" t="s">
        <v>774</v>
      </c>
      <c r="N75" t="s">
        <v>14</v>
      </c>
      <c r="O75" t="s">
        <v>774</v>
      </c>
      <c r="P75" t="s">
        <v>800</v>
      </c>
      <c r="Q75" s="36">
        <v>46258</v>
      </c>
      <c r="R75" t="s">
        <v>801</v>
      </c>
      <c r="S75" s="36">
        <v>46275</v>
      </c>
      <c r="V75" s="36">
        <v>46261</v>
      </c>
      <c r="X75" t="s">
        <v>49</v>
      </c>
      <c r="Y75" t="s">
        <v>82</v>
      </c>
      <c r="AA75" t="s">
        <v>56</v>
      </c>
      <c r="AB75" t="s">
        <v>212</v>
      </c>
      <c r="AC75" t="s">
        <v>14</v>
      </c>
      <c r="AD75" s="36">
        <v>46275</v>
      </c>
      <c r="AE75" t="s">
        <v>83</v>
      </c>
      <c r="AF75" s="36">
        <v>46275</v>
      </c>
      <c r="AG75" t="s">
        <v>83</v>
      </c>
      <c r="AH75" s="43">
        <v>100</v>
      </c>
      <c r="AI75" s="43">
        <v>100</v>
      </c>
      <c r="AJ75" s="44">
        <v>100</v>
      </c>
      <c r="AK75" t="s">
        <v>697</v>
      </c>
      <c r="AM75" t="s">
        <v>697</v>
      </c>
      <c r="AN75" s="39" t="str">
        <f>VLOOKUP(M75,[1]municipios!$B:$D,3,0)</f>
        <v>COXIM</v>
      </c>
      <c r="AO75" s="37">
        <f t="shared" ca="1" si="7"/>
        <v>30</v>
      </c>
      <c r="AP75" s="38" t="str">
        <f t="shared" ca="1" si="8"/>
        <v>30–50 dias</v>
      </c>
      <c r="AQ75" s="39" t="str">
        <f t="shared" ca="1" si="9"/>
        <v>Dentro</v>
      </c>
      <c r="AR75" s="39" t="str">
        <f t="shared" ca="1" si="10"/>
        <v>Não risco</v>
      </c>
      <c r="AS75" s="37" t="e">
        <f t="shared" si="11"/>
        <v>#VALUE!</v>
      </c>
      <c r="AT75" s="39">
        <f t="shared" ca="1" si="12"/>
        <v>17</v>
      </c>
      <c r="AU75" s="47" t="str">
        <f>VLOOKUP(X75,'pontos focais'!C:D,2,0)</f>
        <v>DESC Agentes de Relacionamento</v>
      </c>
      <c r="AV75" s="41">
        <f t="shared" si="13"/>
        <v>-46258</v>
      </c>
    </row>
    <row r="76" spans="1:48" x14ac:dyDescent="0.25">
      <c r="A76" t="s">
        <v>798</v>
      </c>
      <c r="B76" t="s">
        <v>53</v>
      </c>
      <c r="C76" t="s">
        <v>103</v>
      </c>
      <c r="D76" t="s">
        <v>55</v>
      </c>
      <c r="E76" s="36">
        <v>46258</v>
      </c>
      <c r="F76" t="s">
        <v>114</v>
      </c>
      <c r="G76" t="s">
        <v>111</v>
      </c>
      <c r="H76" t="s">
        <v>37</v>
      </c>
      <c r="I76" t="s">
        <v>697</v>
      </c>
      <c r="J76" t="s">
        <v>697</v>
      </c>
      <c r="K76" t="s">
        <v>799</v>
      </c>
      <c r="L76" t="s">
        <v>57</v>
      </c>
      <c r="M76" t="s">
        <v>774</v>
      </c>
      <c r="N76" t="s">
        <v>14</v>
      </c>
      <c r="O76" t="s">
        <v>774</v>
      </c>
      <c r="P76" t="s">
        <v>800</v>
      </c>
      <c r="Q76" s="36">
        <v>46258</v>
      </c>
      <c r="R76" t="s">
        <v>801</v>
      </c>
      <c r="S76" s="36">
        <v>46262</v>
      </c>
      <c r="T76" t="s">
        <v>802</v>
      </c>
      <c r="V76" s="36">
        <v>46261</v>
      </c>
      <c r="X76" t="s">
        <v>49</v>
      </c>
      <c r="Y76" t="s">
        <v>82</v>
      </c>
      <c r="AA76" t="s">
        <v>56</v>
      </c>
      <c r="AB76" t="s">
        <v>212</v>
      </c>
      <c r="AC76" t="s">
        <v>53</v>
      </c>
      <c r="AD76" s="36">
        <v>46262</v>
      </c>
      <c r="AE76" t="s">
        <v>83</v>
      </c>
      <c r="AF76" s="36">
        <v>46262</v>
      </c>
      <c r="AG76" t="s">
        <v>83</v>
      </c>
      <c r="AH76" s="43">
        <v>100</v>
      </c>
      <c r="AI76" s="43">
        <v>100</v>
      </c>
      <c r="AJ76" s="44">
        <v>100</v>
      </c>
      <c r="AK76" t="s">
        <v>697</v>
      </c>
      <c r="AM76" t="s">
        <v>697</v>
      </c>
      <c r="AN76" s="39" t="str">
        <f>VLOOKUP(M76,[1]municipios!$B:$D,3,0)</f>
        <v>COXIM</v>
      </c>
      <c r="AO76" s="37">
        <f t="shared" ca="1" si="7"/>
        <v>30</v>
      </c>
      <c r="AP76" s="38" t="str">
        <f t="shared" ca="1" si="8"/>
        <v>30–50 dias</v>
      </c>
      <c r="AQ76" s="39" t="str">
        <f t="shared" ca="1" si="9"/>
        <v>Dentro</v>
      </c>
      <c r="AR76" s="39" t="str">
        <f t="shared" ca="1" si="10"/>
        <v>Não risco</v>
      </c>
      <c r="AS76" s="37" t="e">
        <f t="shared" si="11"/>
        <v>#VALUE!</v>
      </c>
      <c r="AT76" s="39">
        <f t="shared" ca="1" si="12"/>
        <v>4</v>
      </c>
      <c r="AU76" s="47" t="str">
        <f>VLOOKUP(X76,'pontos focais'!C:D,2,0)</f>
        <v>DESC Agentes de Relacionamento</v>
      </c>
      <c r="AV76" s="41">
        <f t="shared" si="13"/>
        <v>-46258</v>
      </c>
    </row>
    <row r="77" spans="1:48" x14ac:dyDescent="0.25">
      <c r="A77" t="s">
        <v>870</v>
      </c>
      <c r="B77" t="s">
        <v>53</v>
      </c>
      <c r="C77" t="s">
        <v>43</v>
      </c>
      <c r="D77" t="s">
        <v>35</v>
      </c>
      <c r="E77" s="36">
        <v>46255</v>
      </c>
      <c r="F77" t="s">
        <v>56</v>
      </c>
      <c r="G77" t="s">
        <v>111</v>
      </c>
      <c r="H77" t="s">
        <v>111</v>
      </c>
      <c r="I77" t="s">
        <v>697</v>
      </c>
      <c r="J77" t="s">
        <v>697</v>
      </c>
      <c r="K77" t="s">
        <v>773</v>
      </c>
      <c r="L77" t="s">
        <v>57</v>
      </c>
      <c r="M77" t="s">
        <v>774</v>
      </c>
      <c r="N77" t="s">
        <v>14</v>
      </c>
      <c r="O77" t="s">
        <v>774</v>
      </c>
      <c r="P77" t="s">
        <v>1079</v>
      </c>
      <c r="Q77" s="36">
        <v>46259</v>
      </c>
      <c r="R77" t="s">
        <v>872</v>
      </c>
      <c r="S77" s="36">
        <v>46269</v>
      </c>
      <c r="T77" t="s">
        <v>1019</v>
      </c>
      <c r="U77" s="36">
        <v>46280</v>
      </c>
      <c r="X77" t="s">
        <v>72</v>
      </c>
      <c r="Y77" t="s">
        <v>94</v>
      </c>
      <c r="AA77" t="s">
        <v>697</v>
      </c>
      <c r="AB77" t="s">
        <v>212</v>
      </c>
      <c r="AC77" t="s">
        <v>53</v>
      </c>
      <c r="AD77" s="36">
        <v>46269</v>
      </c>
      <c r="AE77" t="s">
        <v>72</v>
      </c>
      <c r="AF77" s="36">
        <v>46269</v>
      </c>
      <c r="AG77" t="s">
        <v>72</v>
      </c>
      <c r="AH77" s="43">
        <v>100</v>
      </c>
      <c r="AI77" s="43">
        <v>100</v>
      </c>
      <c r="AJ77" s="44">
        <v>100</v>
      </c>
      <c r="AK77" t="s">
        <v>697</v>
      </c>
      <c r="AM77" t="s">
        <v>697</v>
      </c>
      <c r="AN77" s="39" t="str">
        <f>VLOOKUP(M77,[1]municipios!$B:$D,3,0)</f>
        <v>COXIM</v>
      </c>
      <c r="AO77" s="37">
        <f t="shared" ca="1" si="7"/>
        <v>33</v>
      </c>
      <c r="AP77" s="38" t="str">
        <f t="shared" ca="1" si="8"/>
        <v>&gt;50 dias</v>
      </c>
      <c r="AQ77" s="39" t="str">
        <f t="shared" ca="1" si="9"/>
        <v>Fora</v>
      </c>
      <c r="AR77" s="39" t="str">
        <f t="shared" ca="1" si="10"/>
        <v>Não risco</v>
      </c>
      <c r="AS77" s="37" t="e">
        <f t="shared" si="11"/>
        <v>#VALUE!</v>
      </c>
      <c r="AT77" s="39">
        <f t="shared" ca="1" si="12"/>
        <v>10</v>
      </c>
      <c r="AU77" s="47" t="str">
        <f>VLOOKUP(X77,'pontos focais'!C:D,2,0)</f>
        <v>DCMD Programação de Obra</v>
      </c>
      <c r="AV77" s="41">
        <f t="shared" si="13"/>
        <v>21</v>
      </c>
    </row>
    <row r="78" spans="1:48" x14ac:dyDescent="0.25">
      <c r="A78" t="s">
        <v>805</v>
      </c>
      <c r="B78" t="s">
        <v>53</v>
      </c>
      <c r="C78" t="s">
        <v>74</v>
      </c>
      <c r="D78" t="s">
        <v>35</v>
      </c>
      <c r="E78" s="36">
        <v>46154</v>
      </c>
      <c r="F78" t="s">
        <v>67</v>
      </c>
      <c r="G78" t="s">
        <v>111</v>
      </c>
      <c r="H78" t="s">
        <v>111</v>
      </c>
      <c r="I78" t="s">
        <v>697</v>
      </c>
      <c r="J78" t="s">
        <v>697</v>
      </c>
      <c r="K78" t="s">
        <v>697</v>
      </c>
      <c r="L78" t="s">
        <v>64</v>
      </c>
      <c r="M78" t="s">
        <v>85</v>
      </c>
      <c r="N78" t="s">
        <v>80</v>
      </c>
      <c r="O78" t="s">
        <v>85</v>
      </c>
      <c r="P78" t="s">
        <v>556</v>
      </c>
      <c r="Q78" s="36">
        <v>46154</v>
      </c>
      <c r="R78" t="s">
        <v>480</v>
      </c>
      <c r="S78" s="36">
        <v>46247</v>
      </c>
      <c r="X78" t="s">
        <v>77</v>
      </c>
      <c r="Y78" t="s">
        <v>316</v>
      </c>
      <c r="Z78" t="s">
        <v>318</v>
      </c>
      <c r="AA78" t="s">
        <v>67</v>
      </c>
      <c r="AB78" t="s">
        <v>212</v>
      </c>
      <c r="AC78" t="s">
        <v>53</v>
      </c>
      <c r="AD78" s="36">
        <v>46268</v>
      </c>
      <c r="AE78" t="s">
        <v>93</v>
      </c>
      <c r="AF78" s="36">
        <v>46247</v>
      </c>
      <c r="AG78" t="s">
        <v>155</v>
      </c>
      <c r="AH78" s="43">
        <v>100</v>
      </c>
      <c r="AI78" s="43">
        <v>100</v>
      </c>
      <c r="AJ78" s="44">
        <v>100</v>
      </c>
      <c r="AK78" t="s">
        <v>697</v>
      </c>
      <c r="AM78" t="s">
        <v>697</v>
      </c>
      <c r="AN78" s="39" t="str">
        <f>VLOOKUP(M78,[1]municipios!$B:$D,3,0)</f>
        <v>CAMPO GRANDE INTERIOR</v>
      </c>
      <c r="AO78" s="37">
        <f t="shared" ca="1" si="7"/>
        <v>134</v>
      </c>
      <c r="AP78" s="38" t="str">
        <f t="shared" ca="1" si="8"/>
        <v>&gt;50 dias</v>
      </c>
      <c r="AQ78" s="39" t="str">
        <f t="shared" ca="1" si="9"/>
        <v>Dentro</v>
      </c>
      <c r="AR78" s="39" t="str">
        <f t="shared" ca="1" si="10"/>
        <v>Não risco</v>
      </c>
      <c r="AS78" s="37" t="e">
        <f t="shared" si="11"/>
        <v>#VALUE!</v>
      </c>
      <c r="AT78" s="39">
        <f t="shared" ca="1" si="12"/>
        <v>93</v>
      </c>
      <c r="AU78" s="47" t="str">
        <f>VLOOKUP(X78,'pontos focais'!C:D,2,0)</f>
        <v>DCMD Manutenção</v>
      </c>
      <c r="AV78" s="41">
        <f t="shared" si="13"/>
        <v>-46154</v>
      </c>
    </row>
    <row r="79" spans="1:48" x14ac:dyDescent="0.25">
      <c r="A79" t="s">
        <v>805</v>
      </c>
      <c r="B79" t="s">
        <v>53</v>
      </c>
      <c r="C79" t="s">
        <v>34</v>
      </c>
      <c r="D79" t="s">
        <v>55</v>
      </c>
      <c r="E79" s="36">
        <v>46154</v>
      </c>
      <c r="F79" t="s">
        <v>67</v>
      </c>
      <c r="G79" t="s">
        <v>111</v>
      </c>
      <c r="H79" t="s">
        <v>111</v>
      </c>
      <c r="I79" t="s">
        <v>697</v>
      </c>
      <c r="J79" t="s">
        <v>697</v>
      </c>
      <c r="K79" t="s">
        <v>697</v>
      </c>
      <c r="L79" t="s">
        <v>64</v>
      </c>
      <c r="M79" t="s">
        <v>85</v>
      </c>
      <c r="N79" t="s">
        <v>80</v>
      </c>
      <c r="O79" t="s">
        <v>85</v>
      </c>
      <c r="P79" t="s">
        <v>556</v>
      </c>
      <c r="Q79" s="36">
        <v>46154</v>
      </c>
      <c r="R79" t="s">
        <v>317</v>
      </c>
      <c r="S79" s="36">
        <v>46247</v>
      </c>
      <c r="X79" t="s">
        <v>67</v>
      </c>
      <c r="Y79" t="s">
        <v>316</v>
      </c>
      <c r="Z79" t="s">
        <v>318</v>
      </c>
      <c r="AA79" t="s">
        <v>67</v>
      </c>
      <c r="AB79" t="s">
        <v>212</v>
      </c>
      <c r="AC79" t="s">
        <v>53</v>
      </c>
      <c r="AD79" s="36">
        <v>46268</v>
      </c>
      <c r="AE79" t="s">
        <v>93</v>
      </c>
      <c r="AF79" s="36">
        <v>46247</v>
      </c>
      <c r="AG79" t="s">
        <v>155</v>
      </c>
      <c r="AH79" s="43">
        <v>100</v>
      </c>
      <c r="AI79" s="43">
        <v>100</v>
      </c>
      <c r="AJ79" s="44">
        <v>100</v>
      </c>
      <c r="AK79" t="s">
        <v>697</v>
      </c>
      <c r="AM79" t="s">
        <v>697</v>
      </c>
      <c r="AN79" s="39" t="str">
        <f>VLOOKUP(M79,[1]municipios!$B:$D,3,0)</f>
        <v>CAMPO GRANDE INTERIOR</v>
      </c>
      <c r="AO79" s="37">
        <f t="shared" ca="1" si="7"/>
        <v>134</v>
      </c>
      <c r="AP79" s="38" t="str">
        <f t="shared" ca="1" si="8"/>
        <v>&gt;50 dias</v>
      </c>
      <c r="AQ79" s="39" t="str">
        <f t="shared" ca="1" si="9"/>
        <v>Dentro</v>
      </c>
      <c r="AR79" s="39" t="str">
        <f t="shared" ca="1" si="10"/>
        <v>Não risco</v>
      </c>
      <c r="AS79" s="37" t="e">
        <f t="shared" si="11"/>
        <v>#VALUE!</v>
      </c>
      <c r="AT79" s="39">
        <f t="shared" ca="1" si="12"/>
        <v>93</v>
      </c>
      <c r="AU79" s="47" t="str">
        <f>VLOOKUP(X79,'pontos focais'!C:D,2,0)</f>
        <v>Institucional</v>
      </c>
      <c r="AV79" s="41">
        <f t="shared" si="13"/>
        <v>-46154</v>
      </c>
    </row>
    <row r="80" spans="1:48" x14ac:dyDescent="0.25">
      <c r="A80" t="s">
        <v>806</v>
      </c>
      <c r="B80" t="s">
        <v>53</v>
      </c>
      <c r="C80" t="s">
        <v>34</v>
      </c>
      <c r="D80" t="s">
        <v>55</v>
      </c>
      <c r="E80" s="36">
        <v>46154</v>
      </c>
      <c r="F80" t="s">
        <v>67</v>
      </c>
      <c r="G80" t="s">
        <v>111</v>
      </c>
      <c r="H80" t="s">
        <v>111</v>
      </c>
      <c r="I80" t="s">
        <v>321</v>
      </c>
      <c r="J80" t="s">
        <v>697</v>
      </c>
      <c r="K80" t="s">
        <v>697</v>
      </c>
      <c r="L80" t="s">
        <v>39</v>
      </c>
      <c r="M80" t="s">
        <v>125</v>
      </c>
      <c r="N80" t="s">
        <v>68</v>
      </c>
      <c r="O80" t="s">
        <v>125</v>
      </c>
      <c r="P80" t="s">
        <v>322</v>
      </c>
      <c r="R80" t="s">
        <v>323</v>
      </c>
      <c r="S80" s="36">
        <v>46154</v>
      </c>
      <c r="T80" t="s">
        <v>324</v>
      </c>
      <c r="X80" s="59" t="s">
        <v>103</v>
      </c>
      <c r="Y80" t="s">
        <v>112</v>
      </c>
      <c r="Z80" t="s">
        <v>325</v>
      </c>
      <c r="AA80" t="s">
        <v>326</v>
      </c>
      <c r="AB80" t="s">
        <v>212</v>
      </c>
      <c r="AC80" t="s">
        <v>53</v>
      </c>
      <c r="AD80" s="36">
        <v>46268</v>
      </c>
      <c r="AE80" t="s">
        <v>93</v>
      </c>
      <c r="AF80" s="36">
        <v>46154</v>
      </c>
      <c r="AG80" t="s">
        <v>113</v>
      </c>
      <c r="AH80" s="43">
        <v>25</v>
      </c>
      <c r="AI80" s="43">
        <v>25</v>
      </c>
      <c r="AJ80" s="44">
        <v>12.5</v>
      </c>
      <c r="AK80" t="s">
        <v>697</v>
      </c>
      <c r="AM80" t="s">
        <v>697</v>
      </c>
      <c r="AN80" s="39" t="str">
        <f>VLOOKUP(M80,[1]municipios!$B:$D,3,0)</f>
        <v>PONTA PORA</v>
      </c>
      <c r="AO80" s="37">
        <f t="shared" ca="1" si="7"/>
        <v>134</v>
      </c>
      <c r="AP80" s="38" t="str">
        <f t="shared" ca="1" si="8"/>
        <v>&gt;50 dias</v>
      </c>
      <c r="AQ80" s="39" t="str">
        <f t="shared" ca="1" si="9"/>
        <v>Dentro</v>
      </c>
      <c r="AR80" s="39" t="str">
        <f t="shared" ca="1" si="10"/>
        <v>Não risco</v>
      </c>
      <c r="AS80" s="37" t="e">
        <f t="shared" si="11"/>
        <v>#VALUE!</v>
      </c>
      <c r="AT80" s="39">
        <f t="shared" ca="1" si="12"/>
        <v>46154</v>
      </c>
      <c r="AU80" s="47" t="str">
        <f>VLOOKUP(X80,'pontos focais'!C:D,2,0)</f>
        <v>Central do Cliente</v>
      </c>
      <c r="AV80" s="41">
        <f t="shared" si="13"/>
        <v>0</v>
      </c>
    </row>
    <row r="81" spans="1:48" x14ac:dyDescent="0.25">
      <c r="A81" t="s">
        <v>807</v>
      </c>
      <c r="B81" t="s">
        <v>53</v>
      </c>
      <c r="C81" t="s">
        <v>34</v>
      </c>
      <c r="D81" t="s">
        <v>78</v>
      </c>
      <c r="E81" s="36">
        <v>46231</v>
      </c>
      <c r="F81" t="s">
        <v>67</v>
      </c>
      <c r="G81" t="s">
        <v>111</v>
      </c>
      <c r="H81" t="s">
        <v>111</v>
      </c>
      <c r="I81" t="s">
        <v>697</v>
      </c>
      <c r="J81" t="s">
        <v>697</v>
      </c>
      <c r="K81" t="s">
        <v>697</v>
      </c>
      <c r="L81" t="s">
        <v>39</v>
      </c>
      <c r="M81" t="s">
        <v>45</v>
      </c>
      <c r="N81" t="s">
        <v>68</v>
      </c>
      <c r="O81" t="s">
        <v>45</v>
      </c>
      <c r="P81" t="s">
        <v>481</v>
      </c>
      <c r="R81" t="s">
        <v>482</v>
      </c>
      <c r="S81" s="36">
        <v>46252</v>
      </c>
      <c r="T81" t="s">
        <v>670</v>
      </c>
      <c r="W81" s="36">
        <v>46252</v>
      </c>
      <c r="X81" t="s">
        <v>81</v>
      </c>
      <c r="Y81" t="s">
        <v>546</v>
      </c>
      <c r="Z81" t="s">
        <v>483</v>
      </c>
      <c r="AA81" t="s">
        <v>67</v>
      </c>
      <c r="AB81" t="s">
        <v>212</v>
      </c>
      <c r="AC81" t="s">
        <v>53</v>
      </c>
      <c r="AD81" s="36">
        <v>46268</v>
      </c>
      <c r="AE81" t="s">
        <v>93</v>
      </c>
      <c r="AF81" s="36">
        <v>46252</v>
      </c>
      <c r="AG81" t="s">
        <v>214</v>
      </c>
      <c r="AH81" s="43">
        <v>25</v>
      </c>
      <c r="AI81" s="43">
        <v>25</v>
      </c>
      <c r="AJ81" s="44">
        <v>25</v>
      </c>
      <c r="AK81" t="s">
        <v>697</v>
      </c>
      <c r="AM81" t="s">
        <v>697</v>
      </c>
      <c r="AN81" s="39" t="str">
        <f>VLOOKUP(M81,[1]municipios!$B:$D,3,0)</f>
        <v>DOURADOS</v>
      </c>
      <c r="AO81" s="37">
        <f t="shared" ca="1" si="7"/>
        <v>57</v>
      </c>
      <c r="AP81" s="38" t="str">
        <f t="shared" ca="1" si="8"/>
        <v>&gt;50 dias</v>
      </c>
      <c r="AQ81" s="39" t="str">
        <f t="shared" ca="1" si="9"/>
        <v>Dentro</v>
      </c>
      <c r="AR81" s="39" t="str">
        <f t="shared" ca="1" si="10"/>
        <v>Não risco</v>
      </c>
      <c r="AS81" s="37" t="e">
        <f t="shared" si="11"/>
        <v>#VALUE!</v>
      </c>
      <c r="AT81" s="39">
        <f t="shared" ca="1" si="12"/>
        <v>46252</v>
      </c>
      <c r="AU81" s="47" t="str">
        <f>VLOOKUP(X81,'pontos focais'!C:D,2,0)</f>
        <v>DEOP Qualidade</v>
      </c>
      <c r="AV81" s="41">
        <f t="shared" si="13"/>
        <v>0</v>
      </c>
    </row>
    <row r="82" spans="1:48" x14ac:dyDescent="0.25">
      <c r="A82" t="s">
        <v>808</v>
      </c>
      <c r="B82" t="s">
        <v>53</v>
      </c>
      <c r="C82" t="s">
        <v>54</v>
      </c>
      <c r="D82" t="s">
        <v>35</v>
      </c>
      <c r="E82" s="36">
        <v>46231</v>
      </c>
      <c r="F82" t="s">
        <v>44</v>
      </c>
      <c r="G82" t="s">
        <v>111</v>
      </c>
      <c r="H82" t="s">
        <v>111</v>
      </c>
      <c r="I82" t="s">
        <v>697</v>
      </c>
      <c r="J82" t="s">
        <v>697</v>
      </c>
      <c r="K82" t="s">
        <v>697</v>
      </c>
      <c r="L82" t="s">
        <v>39</v>
      </c>
      <c r="M82" t="s">
        <v>264</v>
      </c>
      <c r="N82" t="s">
        <v>14</v>
      </c>
      <c r="O82" t="s">
        <v>264</v>
      </c>
      <c r="P82" t="s">
        <v>275</v>
      </c>
      <c r="Q82" s="36">
        <v>46155</v>
      </c>
      <c r="R82" t="s">
        <v>276</v>
      </c>
      <c r="S82" s="36">
        <v>46247</v>
      </c>
      <c r="V82" s="36">
        <v>46262</v>
      </c>
      <c r="X82" t="s">
        <v>77</v>
      </c>
      <c r="Y82" t="s">
        <v>316</v>
      </c>
      <c r="Z82" t="s">
        <v>277</v>
      </c>
      <c r="AA82" t="s">
        <v>44</v>
      </c>
      <c r="AB82" t="s">
        <v>212</v>
      </c>
      <c r="AC82" t="s">
        <v>53</v>
      </c>
      <c r="AD82" s="36">
        <v>46268</v>
      </c>
      <c r="AE82" t="s">
        <v>93</v>
      </c>
      <c r="AF82" s="36">
        <v>46247</v>
      </c>
      <c r="AG82" t="s">
        <v>155</v>
      </c>
      <c r="AH82" s="43">
        <v>100</v>
      </c>
      <c r="AI82" s="43">
        <v>100</v>
      </c>
      <c r="AJ82" s="44">
        <v>100</v>
      </c>
      <c r="AK82" t="s">
        <v>697</v>
      </c>
      <c r="AM82" t="s">
        <v>697</v>
      </c>
      <c r="AN82" s="39" t="str">
        <f>VLOOKUP(M82,[1]municipios!$B:$D,3,0)</f>
        <v>DOURADOS</v>
      </c>
      <c r="AO82" s="37">
        <f t="shared" ca="1" si="7"/>
        <v>57</v>
      </c>
      <c r="AP82" s="38" t="str">
        <f t="shared" ca="1" si="8"/>
        <v>&gt;50 dias</v>
      </c>
      <c r="AQ82" s="39" t="str">
        <f t="shared" ca="1" si="9"/>
        <v>Dentro</v>
      </c>
      <c r="AR82" s="39" t="str">
        <f t="shared" ca="1" si="10"/>
        <v>Não risco</v>
      </c>
      <c r="AS82" s="37" t="e">
        <f t="shared" si="11"/>
        <v>#VALUE!</v>
      </c>
      <c r="AT82" s="39">
        <f t="shared" ca="1" si="12"/>
        <v>92</v>
      </c>
      <c r="AU82" s="47" t="str">
        <f>VLOOKUP(X82,'pontos focais'!C:D,2,0)</f>
        <v>DCMD Manutenção</v>
      </c>
      <c r="AV82" s="41">
        <f t="shared" si="13"/>
        <v>-46155</v>
      </c>
    </row>
    <row r="83" spans="1:48" x14ac:dyDescent="0.25">
      <c r="A83" t="s">
        <v>808</v>
      </c>
      <c r="B83" t="s">
        <v>53</v>
      </c>
      <c r="C83" t="s">
        <v>54</v>
      </c>
      <c r="D83" t="s">
        <v>78</v>
      </c>
      <c r="E83" s="36">
        <v>46231</v>
      </c>
      <c r="F83" t="s">
        <v>44</v>
      </c>
      <c r="G83" t="s">
        <v>111</v>
      </c>
      <c r="H83" t="s">
        <v>111</v>
      </c>
      <c r="I83" t="s">
        <v>697</v>
      </c>
      <c r="J83" t="s">
        <v>697</v>
      </c>
      <c r="K83" t="s">
        <v>697</v>
      </c>
      <c r="L83" t="s">
        <v>39</v>
      </c>
      <c r="M83" t="s">
        <v>264</v>
      </c>
      <c r="N83" t="s">
        <v>14</v>
      </c>
      <c r="O83" t="s">
        <v>264</v>
      </c>
      <c r="P83" t="s">
        <v>275</v>
      </c>
      <c r="R83" t="s">
        <v>484</v>
      </c>
      <c r="S83" s="36">
        <v>46259</v>
      </c>
      <c r="T83" t="s">
        <v>641</v>
      </c>
      <c r="W83" s="36">
        <v>46259</v>
      </c>
      <c r="X83" t="s">
        <v>81</v>
      </c>
      <c r="Y83" t="s">
        <v>70</v>
      </c>
      <c r="Z83" t="s">
        <v>277</v>
      </c>
      <c r="AA83" t="s">
        <v>44</v>
      </c>
      <c r="AB83" t="s">
        <v>212</v>
      </c>
      <c r="AC83" t="s">
        <v>53</v>
      </c>
      <c r="AD83" s="36">
        <v>46268</v>
      </c>
      <c r="AE83" t="s">
        <v>93</v>
      </c>
      <c r="AF83" s="36">
        <v>46259</v>
      </c>
      <c r="AG83" t="s">
        <v>71</v>
      </c>
      <c r="AH83" s="43">
        <v>100</v>
      </c>
      <c r="AI83" s="43">
        <v>100</v>
      </c>
      <c r="AJ83" s="44">
        <v>100</v>
      </c>
      <c r="AK83" t="s">
        <v>697</v>
      </c>
      <c r="AM83" t="s">
        <v>697</v>
      </c>
      <c r="AN83" s="39" t="str">
        <f>VLOOKUP(M83,[1]municipios!$B:$D,3,0)</f>
        <v>DOURADOS</v>
      </c>
      <c r="AO83" s="37">
        <f t="shared" ca="1" si="7"/>
        <v>57</v>
      </c>
      <c r="AP83" s="38" t="str">
        <f t="shared" ca="1" si="8"/>
        <v>&gt;50 dias</v>
      </c>
      <c r="AQ83" s="39" t="str">
        <f t="shared" ca="1" si="9"/>
        <v>Dentro</v>
      </c>
      <c r="AR83" s="39" t="str">
        <f t="shared" ca="1" si="10"/>
        <v>Não risco</v>
      </c>
      <c r="AS83" s="37" t="e">
        <f t="shared" si="11"/>
        <v>#VALUE!</v>
      </c>
      <c r="AT83" s="39">
        <f t="shared" ca="1" si="12"/>
        <v>46259</v>
      </c>
      <c r="AU83" s="47" t="str">
        <f>VLOOKUP(X83,'pontos focais'!C:D,2,0)</f>
        <v>DEOP Qualidade</v>
      </c>
      <c r="AV83" s="41">
        <f t="shared" si="13"/>
        <v>0</v>
      </c>
    </row>
    <row r="84" spans="1:48" x14ac:dyDescent="0.25">
      <c r="A84" t="s">
        <v>808</v>
      </c>
      <c r="B84" t="s">
        <v>53</v>
      </c>
      <c r="C84" t="s">
        <v>54</v>
      </c>
      <c r="D84" t="s">
        <v>55</v>
      </c>
      <c r="E84" s="36">
        <v>46231</v>
      </c>
      <c r="F84" t="s">
        <v>44</v>
      </c>
      <c r="G84" t="s">
        <v>111</v>
      </c>
      <c r="H84" t="s">
        <v>111</v>
      </c>
      <c r="I84" t="s">
        <v>697</v>
      </c>
      <c r="J84" t="s">
        <v>697</v>
      </c>
      <c r="K84" t="s">
        <v>697</v>
      </c>
      <c r="L84" t="s">
        <v>39</v>
      </c>
      <c r="M84" t="s">
        <v>264</v>
      </c>
      <c r="N84" t="s">
        <v>14</v>
      </c>
      <c r="O84" t="s">
        <v>264</v>
      </c>
      <c r="P84" t="s">
        <v>275</v>
      </c>
      <c r="Q84" s="36">
        <v>46155</v>
      </c>
      <c r="R84" t="s">
        <v>640</v>
      </c>
      <c r="S84" s="36">
        <v>46259</v>
      </c>
      <c r="T84" t="s">
        <v>641</v>
      </c>
      <c r="W84" s="36">
        <v>46259</v>
      </c>
      <c r="X84" t="s">
        <v>88</v>
      </c>
      <c r="Y84" t="s">
        <v>70</v>
      </c>
      <c r="Z84" t="s">
        <v>277</v>
      </c>
      <c r="AA84" t="s">
        <v>44</v>
      </c>
      <c r="AB84" t="s">
        <v>212</v>
      </c>
      <c r="AC84" t="s">
        <v>53</v>
      </c>
      <c r="AD84" s="36">
        <v>46268</v>
      </c>
      <c r="AE84" t="s">
        <v>93</v>
      </c>
      <c r="AF84" s="36">
        <v>46259</v>
      </c>
      <c r="AG84" t="s">
        <v>71</v>
      </c>
      <c r="AH84" s="43">
        <v>100</v>
      </c>
      <c r="AI84" s="43">
        <v>100</v>
      </c>
      <c r="AJ84" s="44">
        <v>100</v>
      </c>
      <c r="AK84" t="s">
        <v>697</v>
      </c>
      <c r="AM84" t="s">
        <v>697</v>
      </c>
      <c r="AN84" s="39" t="str">
        <f>VLOOKUP(M84,[1]municipios!$B:$D,3,0)</f>
        <v>DOURADOS</v>
      </c>
      <c r="AO84" s="37">
        <f t="shared" ca="1" si="7"/>
        <v>57</v>
      </c>
      <c r="AP84" s="38" t="str">
        <f t="shared" ca="1" si="8"/>
        <v>&gt;50 dias</v>
      </c>
      <c r="AQ84" s="39" t="str">
        <f t="shared" ca="1" si="9"/>
        <v>Dentro</v>
      </c>
      <c r="AR84" s="39" t="str">
        <f t="shared" ca="1" si="10"/>
        <v>Não risco</v>
      </c>
      <c r="AS84" s="37" t="e">
        <f t="shared" si="11"/>
        <v>#VALUE!</v>
      </c>
      <c r="AT84" s="39">
        <f t="shared" ca="1" si="12"/>
        <v>104</v>
      </c>
      <c r="AU84" s="47" t="s">
        <v>584</v>
      </c>
      <c r="AV84" s="41">
        <f t="shared" si="13"/>
        <v>-46155</v>
      </c>
    </row>
    <row r="85" spans="1:48" x14ac:dyDescent="0.25">
      <c r="A85" t="s">
        <v>809</v>
      </c>
      <c r="B85" t="s">
        <v>53</v>
      </c>
      <c r="C85" t="s">
        <v>43</v>
      </c>
      <c r="D85" t="s">
        <v>55</v>
      </c>
      <c r="E85" s="36">
        <v>46154</v>
      </c>
      <c r="F85" t="s">
        <v>44</v>
      </c>
      <c r="G85" t="s">
        <v>111</v>
      </c>
      <c r="H85" t="s">
        <v>111</v>
      </c>
      <c r="I85" t="s">
        <v>697</v>
      </c>
      <c r="J85" t="s">
        <v>697</v>
      </c>
      <c r="K85" t="s">
        <v>697</v>
      </c>
      <c r="L85" t="s">
        <v>39</v>
      </c>
      <c r="M85" t="s">
        <v>104</v>
      </c>
      <c r="N85" t="s">
        <v>14</v>
      </c>
      <c r="O85" t="s">
        <v>104</v>
      </c>
      <c r="P85" t="s">
        <v>557</v>
      </c>
      <c r="Q85" s="36">
        <v>46195</v>
      </c>
      <c r="R85" t="s">
        <v>485</v>
      </c>
      <c r="S85" s="36">
        <v>46247</v>
      </c>
      <c r="X85" t="s">
        <v>44</v>
      </c>
      <c r="Y85" t="s">
        <v>316</v>
      </c>
      <c r="Z85" t="s">
        <v>343</v>
      </c>
      <c r="AA85" t="s">
        <v>44</v>
      </c>
      <c r="AB85" t="s">
        <v>212</v>
      </c>
      <c r="AC85" t="s">
        <v>53</v>
      </c>
      <c r="AD85" s="36">
        <v>46268</v>
      </c>
      <c r="AE85" t="s">
        <v>93</v>
      </c>
      <c r="AF85" s="36">
        <v>46247</v>
      </c>
      <c r="AG85" t="s">
        <v>155</v>
      </c>
      <c r="AH85" s="43">
        <v>100</v>
      </c>
      <c r="AI85" s="43">
        <v>100</v>
      </c>
      <c r="AJ85" s="44">
        <v>100</v>
      </c>
      <c r="AK85" t="s">
        <v>697</v>
      </c>
      <c r="AM85" t="s">
        <v>697</v>
      </c>
      <c r="AN85" s="39" t="str">
        <f>VLOOKUP(M85,[1]municipios!$B:$D,3,0)</f>
        <v>RIO BRILHANTE</v>
      </c>
      <c r="AO85" s="37">
        <f t="shared" ca="1" si="7"/>
        <v>134</v>
      </c>
      <c r="AP85" s="38" t="str">
        <f t="shared" ca="1" si="8"/>
        <v>&gt;50 dias</v>
      </c>
      <c r="AQ85" s="39" t="str">
        <f t="shared" ca="1" si="9"/>
        <v>Dentro</v>
      </c>
      <c r="AR85" s="39" t="str">
        <f t="shared" ca="1" si="10"/>
        <v>Não risco</v>
      </c>
      <c r="AS85" s="37" t="e">
        <f t="shared" si="11"/>
        <v>#VALUE!</v>
      </c>
      <c r="AT85" s="39">
        <f t="shared" ca="1" si="12"/>
        <v>52</v>
      </c>
      <c r="AU85" s="47" t="str">
        <f>VLOOKUP(X85,'pontos focais'!C:D,2,0)</f>
        <v>Institucional</v>
      </c>
      <c r="AV85" s="41">
        <f t="shared" si="13"/>
        <v>-46195</v>
      </c>
    </row>
    <row r="86" spans="1:48" x14ac:dyDescent="0.25">
      <c r="A86" t="s">
        <v>809</v>
      </c>
      <c r="B86" t="s">
        <v>53</v>
      </c>
      <c r="C86" t="s">
        <v>48</v>
      </c>
      <c r="D86" t="s">
        <v>35</v>
      </c>
      <c r="E86" s="36">
        <v>46154</v>
      </c>
      <c r="F86" t="s">
        <v>44</v>
      </c>
      <c r="G86" t="s">
        <v>111</v>
      </c>
      <c r="H86" t="s">
        <v>111</v>
      </c>
      <c r="I86" t="s">
        <v>697</v>
      </c>
      <c r="J86" t="s">
        <v>697</v>
      </c>
      <c r="K86" t="s">
        <v>697</v>
      </c>
      <c r="L86" t="s">
        <v>39</v>
      </c>
      <c r="M86" t="s">
        <v>104</v>
      </c>
      <c r="N86" t="s">
        <v>14</v>
      </c>
      <c r="O86" t="s">
        <v>104</v>
      </c>
      <c r="P86" t="s">
        <v>557</v>
      </c>
      <c r="Q86" s="36">
        <v>46155</v>
      </c>
      <c r="R86" t="s">
        <v>342</v>
      </c>
      <c r="S86" s="36">
        <v>46197</v>
      </c>
      <c r="U86" s="36">
        <v>46234</v>
      </c>
      <c r="W86" s="36">
        <v>46195</v>
      </c>
      <c r="X86" t="s">
        <v>66</v>
      </c>
      <c r="Y86" t="s">
        <v>82</v>
      </c>
      <c r="Z86" t="s">
        <v>343</v>
      </c>
      <c r="AA86" t="s">
        <v>44</v>
      </c>
      <c r="AB86" t="s">
        <v>212</v>
      </c>
      <c r="AC86" t="s">
        <v>53</v>
      </c>
      <c r="AD86" s="36">
        <v>46268</v>
      </c>
      <c r="AE86" t="s">
        <v>93</v>
      </c>
      <c r="AF86" s="36">
        <v>46197</v>
      </c>
      <c r="AG86" t="s">
        <v>83</v>
      </c>
      <c r="AH86" s="43">
        <v>100</v>
      </c>
      <c r="AI86" s="43">
        <v>100</v>
      </c>
      <c r="AJ86" s="44">
        <v>100</v>
      </c>
      <c r="AK86" t="s">
        <v>697</v>
      </c>
      <c r="AM86" t="s">
        <v>697</v>
      </c>
      <c r="AN86" s="39" t="str">
        <f>VLOOKUP(M86,[1]municipios!$B:$D,3,0)</f>
        <v>RIO BRILHANTE</v>
      </c>
      <c r="AO86" s="37">
        <f t="shared" ca="1" si="7"/>
        <v>134</v>
      </c>
      <c r="AP86" s="38" t="str">
        <f t="shared" ca="1" si="8"/>
        <v>&gt;50 dias</v>
      </c>
      <c r="AQ86" s="39" t="str">
        <f t="shared" ca="1" si="9"/>
        <v>Dentro</v>
      </c>
      <c r="AR86" s="39" t="str">
        <f t="shared" ca="1" si="10"/>
        <v>Não risco</v>
      </c>
      <c r="AS86" s="37" t="e">
        <f t="shared" si="11"/>
        <v>#VALUE!</v>
      </c>
      <c r="AT86" s="39">
        <f t="shared" ca="1" si="12"/>
        <v>42</v>
      </c>
      <c r="AU86" s="47" t="str">
        <f>VLOOKUP(X86,'pontos focais'!C:D,2,0)</f>
        <v>DCMD Orçamento e Projetos</v>
      </c>
      <c r="AV86" s="41">
        <f t="shared" si="13"/>
        <v>79</v>
      </c>
    </row>
    <row r="87" spans="1:48" x14ac:dyDescent="0.25">
      <c r="A87" t="s">
        <v>811</v>
      </c>
      <c r="B87" t="s">
        <v>53</v>
      </c>
      <c r="C87" t="s">
        <v>133</v>
      </c>
      <c r="D87" t="s">
        <v>55</v>
      </c>
      <c r="E87" s="36">
        <v>46052</v>
      </c>
      <c r="F87" t="s">
        <v>88</v>
      </c>
      <c r="G87" t="s">
        <v>111</v>
      </c>
      <c r="H87" t="s">
        <v>111</v>
      </c>
      <c r="I87" t="s">
        <v>186</v>
      </c>
      <c r="J87" t="s">
        <v>697</v>
      </c>
      <c r="K87" t="s">
        <v>697</v>
      </c>
      <c r="L87" t="s">
        <v>57</v>
      </c>
      <c r="M87" t="s">
        <v>187</v>
      </c>
      <c r="N87" t="s">
        <v>14</v>
      </c>
      <c r="O87" t="s">
        <v>187</v>
      </c>
      <c r="P87" t="s">
        <v>347</v>
      </c>
      <c r="Q87" s="36">
        <v>46155</v>
      </c>
      <c r="R87" t="s">
        <v>348</v>
      </c>
      <c r="X87" t="s">
        <v>88</v>
      </c>
      <c r="Y87" t="s">
        <v>697</v>
      </c>
      <c r="AA87" t="s">
        <v>349</v>
      </c>
      <c r="AB87" t="s">
        <v>212</v>
      </c>
      <c r="AC87" t="s">
        <v>53</v>
      </c>
      <c r="AD87" s="36">
        <v>46268</v>
      </c>
      <c r="AE87" t="s">
        <v>93</v>
      </c>
      <c r="AF87" s="36">
        <v>46155</v>
      </c>
      <c r="AG87" t="s">
        <v>113</v>
      </c>
      <c r="AH87" s="43">
        <v>100</v>
      </c>
      <c r="AI87" s="43">
        <v>100</v>
      </c>
      <c r="AJ87" s="44">
        <v>50</v>
      </c>
      <c r="AK87" t="s">
        <v>697</v>
      </c>
      <c r="AM87" t="s">
        <v>697</v>
      </c>
      <c r="AN87" s="39" t="str">
        <f>VLOOKUP(M87,[1]municipios!$B:$D,3,0)</f>
        <v>COXIM</v>
      </c>
      <c r="AO87" s="37">
        <f t="shared" ca="1" si="7"/>
        <v>236</v>
      </c>
      <c r="AP87" s="38" t="str">
        <f t="shared" ca="1" si="8"/>
        <v>&gt;50 dias</v>
      </c>
      <c r="AQ87" s="39" t="str">
        <f t="shared" ca="1" si="9"/>
        <v>Dentro</v>
      </c>
      <c r="AR87" s="39" t="str">
        <f t="shared" ca="1" si="10"/>
        <v>Não risco</v>
      </c>
      <c r="AS87" s="37" t="str">
        <f t="shared" si="11"/>
        <v>Sim</v>
      </c>
      <c r="AT87" s="39">
        <f t="shared" ca="1" si="12"/>
        <v>133</v>
      </c>
      <c r="AU87" s="47" t="str">
        <f>VLOOKUP(X87,'pontos focais'!C:D,2,0)</f>
        <v>DESC Agentes de Relacionamento</v>
      </c>
      <c r="AV87" s="41">
        <f t="shared" si="13"/>
        <v>-46155</v>
      </c>
    </row>
    <row r="88" spans="1:48" x14ac:dyDescent="0.25">
      <c r="A88" t="s">
        <v>811</v>
      </c>
      <c r="B88" t="s">
        <v>53</v>
      </c>
      <c r="C88" t="s">
        <v>34</v>
      </c>
      <c r="D88" t="s">
        <v>78</v>
      </c>
      <c r="E88" s="36">
        <v>46052</v>
      </c>
      <c r="F88" t="s">
        <v>88</v>
      </c>
      <c r="G88" t="s">
        <v>111</v>
      </c>
      <c r="H88" t="s">
        <v>111</v>
      </c>
      <c r="I88" t="s">
        <v>697</v>
      </c>
      <c r="J88" t="s">
        <v>697</v>
      </c>
      <c r="K88" t="s">
        <v>697</v>
      </c>
      <c r="L88" t="s">
        <v>57</v>
      </c>
      <c r="M88" t="s">
        <v>187</v>
      </c>
      <c r="N88" t="s">
        <v>14</v>
      </c>
      <c r="O88" t="s">
        <v>187</v>
      </c>
      <c r="P88" t="s">
        <v>347</v>
      </c>
      <c r="Q88" s="36">
        <v>46155</v>
      </c>
      <c r="R88" t="s">
        <v>486</v>
      </c>
      <c r="S88" s="36">
        <v>46247</v>
      </c>
      <c r="T88" t="s">
        <v>611</v>
      </c>
      <c r="W88" s="36">
        <v>46247</v>
      </c>
      <c r="X88" t="s">
        <v>81</v>
      </c>
      <c r="Y88" t="s">
        <v>546</v>
      </c>
      <c r="AA88" t="s">
        <v>349</v>
      </c>
      <c r="AB88" t="s">
        <v>212</v>
      </c>
      <c r="AC88" t="s">
        <v>53</v>
      </c>
      <c r="AD88" s="36">
        <v>46268</v>
      </c>
      <c r="AE88" t="s">
        <v>93</v>
      </c>
      <c r="AF88" s="36">
        <v>46247</v>
      </c>
      <c r="AG88" t="s">
        <v>214</v>
      </c>
      <c r="AH88" s="43">
        <v>100</v>
      </c>
      <c r="AI88" s="43">
        <v>100</v>
      </c>
      <c r="AJ88" s="44">
        <v>100</v>
      </c>
      <c r="AK88" t="s">
        <v>697</v>
      </c>
      <c r="AM88" t="s">
        <v>697</v>
      </c>
      <c r="AN88" s="39" t="str">
        <f>VLOOKUP(M88,[1]municipios!$B:$D,3,0)</f>
        <v>COXIM</v>
      </c>
      <c r="AO88" s="37">
        <f t="shared" ca="1" si="7"/>
        <v>236</v>
      </c>
      <c r="AP88" s="38" t="str">
        <f t="shared" ca="1" si="8"/>
        <v>&gt;50 dias</v>
      </c>
      <c r="AQ88" s="39" t="str">
        <f t="shared" ca="1" si="9"/>
        <v>Dentro</v>
      </c>
      <c r="AR88" s="39" t="str">
        <f t="shared" ca="1" si="10"/>
        <v>Não risco</v>
      </c>
      <c r="AS88" s="37" t="str">
        <f t="shared" si="11"/>
        <v>Sim</v>
      </c>
      <c r="AT88" s="39">
        <f t="shared" ca="1" si="12"/>
        <v>92</v>
      </c>
      <c r="AU88" s="47" t="str">
        <f>VLOOKUP(X88,'pontos focais'!C:D,2,0)</f>
        <v>DEOP Qualidade</v>
      </c>
      <c r="AV88" s="41">
        <f t="shared" si="13"/>
        <v>-46155</v>
      </c>
    </row>
    <row r="89" spans="1:48" x14ac:dyDescent="0.25">
      <c r="A89" t="s">
        <v>812</v>
      </c>
      <c r="B89" t="s">
        <v>53</v>
      </c>
      <c r="C89" t="s">
        <v>54</v>
      </c>
      <c r="D89" t="s">
        <v>78</v>
      </c>
      <c r="E89" s="36">
        <v>46160</v>
      </c>
      <c r="F89" t="s">
        <v>88</v>
      </c>
      <c r="G89" t="s">
        <v>111</v>
      </c>
      <c r="H89" t="s">
        <v>111</v>
      </c>
      <c r="I89" t="s">
        <v>697</v>
      </c>
      <c r="J89" t="s">
        <v>697</v>
      </c>
      <c r="K89" t="s">
        <v>697</v>
      </c>
      <c r="L89" t="s">
        <v>39</v>
      </c>
      <c r="M89" t="s">
        <v>235</v>
      </c>
      <c r="N89" t="s">
        <v>14</v>
      </c>
      <c r="O89" t="s">
        <v>235</v>
      </c>
      <c r="P89" t="s">
        <v>347</v>
      </c>
      <c r="Q89" s="36">
        <v>46160</v>
      </c>
      <c r="R89" t="s">
        <v>487</v>
      </c>
      <c r="S89" s="36">
        <v>46247</v>
      </c>
      <c r="T89" t="s">
        <v>612</v>
      </c>
      <c r="W89" s="36">
        <v>46247</v>
      </c>
      <c r="X89" t="s">
        <v>108</v>
      </c>
      <c r="Y89" t="s">
        <v>546</v>
      </c>
      <c r="Z89" t="s">
        <v>350</v>
      </c>
      <c r="AA89" t="s">
        <v>106</v>
      </c>
      <c r="AB89" t="s">
        <v>212</v>
      </c>
      <c r="AC89" t="s">
        <v>53</v>
      </c>
      <c r="AD89" s="36">
        <v>46268</v>
      </c>
      <c r="AE89" t="s">
        <v>93</v>
      </c>
      <c r="AF89" s="36">
        <v>46247</v>
      </c>
      <c r="AG89" t="s">
        <v>214</v>
      </c>
      <c r="AH89" s="43">
        <v>100</v>
      </c>
      <c r="AI89" s="43">
        <v>100</v>
      </c>
      <c r="AJ89" s="44">
        <v>100</v>
      </c>
      <c r="AK89" t="s">
        <v>697</v>
      </c>
      <c r="AM89" t="s">
        <v>697</v>
      </c>
      <c r="AN89" s="39" t="str">
        <f>VLOOKUP(M89,[1]municipios!$B:$D,3,0)</f>
        <v>NOVA ANDRADINA</v>
      </c>
      <c r="AO89" s="37">
        <f t="shared" ca="1" si="7"/>
        <v>128</v>
      </c>
      <c r="AP89" s="38" t="str">
        <f t="shared" ca="1" si="8"/>
        <v>&gt;50 dias</v>
      </c>
      <c r="AQ89" s="39" t="str">
        <f t="shared" ca="1" si="9"/>
        <v>Dentro</v>
      </c>
      <c r="AR89" s="39" t="str">
        <f t="shared" ca="1" si="10"/>
        <v>Não risco</v>
      </c>
      <c r="AS89" s="37" t="str">
        <f t="shared" si="11"/>
        <v>Sim</v>
      </c>
      <c r="AT89" s="39">
        <f t="shared" ca="1" si="12"/>
        <v>87</v>
      </c>
      <c r="AU89" s="47" t="str">
        <f>VLOOKUP(X89,'pontos focais'!C:D,2,0)</f>
        <v>DEOP Qualidade</v>
      </c>
      <c r="AV89" s="41">
        <f t="shared" si="13"/>
        <v>-46160</v>
      </c>
    </row>
    <row r="90" spans="1:48" x14ac:dyDescent="0.25">
      <c r="A90" t="s">
        <v>812</v>
      </c>
      <c r="B90" t="s">
        <v>53</v>
      </c>
      <c r="C90" t="s">
        <v>54</v>
      </c>
      <c r="D90" t="s">
        <v>55</v>
      </c>
      <c r="E90" s="36">
        <v>46160</v>
      </c>
      <c r="F90" t="s">
        <v>88</v>
      </c>
      <c r="G90" t="s">
        <v>111</v>
      </c>
      <c r="H90" t="s">
        <v>111</v>
      </c>
      <c r="I90" t="s">
        <v>697</v>
      </c>
      <c r="J90" t="s">
        <v>697</v>
      </c>
      <c r="K90" t="s">
        <v>697</v>
      </c>
      <c r="L90" t="s">
        <v>39</v>
      </c>
      <c r="M90" t="s">
        <v>235</v>
      </c>
      <c r="N90" t="s">
        <v>14</v>
      </c>
      <c r="O90" t="s">
        <v>235</v>
      </c>
      <c r="P90" t="s">
        <v>347</v>
      </c>
      <c r="Q90" s="36">
        <v>46160</v>
      </c>
      <c r="R90" t="s">
        <v>351</v>
      </c>
      <c r="S90" s="36">
        <v>46197</v>
      </c>
      <c r="U90" s="36">
        <v>46191</v>
      </c>
      <c r="X90" t="s">
        <v>88</v>
      </c>
      <c r="Y90" t="s">
        <v>82</v>
      </c>
      <c r="Z90" t="s">
        <v>350</v>
      </c>
      <c r="AA90" t="s">
        <v>106</v>
      </c>
      <c r="AB90" t="s">
        <v>212</v>
      </c>
      <c r="AC90" t="s">
        <v>53</v>
      </c>
      <c r="AD90" s="36">
        <v>46268</v>
      </c>
      <c r="AE90" t="s">
        <v>93</v>
      </c>
      <c r="AF90" s="36">
        <v>46197</v>
      </c>
      <c r="AG90" t="s">
        <v>83</v>
      </c>
      <c r="AH90" s="43">
        <v>100</v>
      </c>
      <c r="AI90" s="43">
        <v>100</v>
      </c>
      <c r="AJ90" s="44">
        <v>100</v>
      </c>
      <c r="AK90" t="s">
        <v>697</v>
      </c>
      <c r="AM90" t="s">
        <v>697</v>
      </c>
      <c r="AN90" s="39" t="str">
        <f>VLOOKUP(M90,[1]municipios!$B:$D,3,0)</f>
        <v>NOVA ANDRADINA</v>
      </c>
      <c r="AO90" s="37">
        <f t="shared" ca="1" si="7"/>
        <v>128</v>
      </c>
      <c r="AP90" s="38" t="str">
        <f t="shared" ca="1" si="8"/>
        <v>&gt;50 dias</v>
      </c>
      <c r="AQ90" s="39" t="str">
        <f t="shared" ca="1" si="9"/>
        <v>Fora</v>
      </c>
      <c r="AR90" s="39" t="str">
        <f t="shared" ca="1" si="10"/>
        <v>Não risco</v>
      </c>
      <c r="AS90" s="37" t="str">
        <f t="shared" si="11"/>
        <v>Sim</v>
      </c>
      <c r="AT90" s="39">
        <f t="shared" ca="1" si="12"/>
        <v>37</v>
      </c>
      <c r="AU90" s="47" t="str">
        <f>VLOOKUP(X90,'pontos focais'!C:D,2,0)</f>
        <v>DESC Agentes de Relacionamento</v>
      </c>
      <c r="AV90" s="41">
        <f t="shared" si="13"/>
        <v>31</v>
      </c>
    </row>
    <row r="91" spans="1:48" x14ac:dyDescent="0.25">
      <c r="A91" t="s">
        <v>813</v>
      </c>
      <c r="B91" t="s">
        <v>53</v>
      </c>
      <c r="C91" t="s">
        <v>54</v>
      </c>
      <c r="D91" t="s">
        <v>118</v>
      </c>
      <c r="E91" s="36">
        <v>46155</v>
      </c>
      <c r="F91" t="s">
        <v>113</v>
      </c>
      <c r="G91" t="s">
        <v>111</v>
      </c>
      <c r="H91" t="s">
        <v>111</v>
      </c>
      <c r="I91" t="s">
        <v>697</v>
      </c>
      <c r="J91" t="s">
        <v>697</v>
      </c>
      <c r="K91" t="s">
        <v>697</v>
      </c>
      <c r="L91" t="s">
        <v>39</v>
      </c>
      <c r="M91" t="s">
        <v>45</v>
      </c>
      <c r="N91" t="s">
        <v>14</v>
      </c>
      <c r="O91" t="s">
        <v>45</v>
      </c>
      <c r="P91" t="s">
        <v>218</v>
      </c>
      <c r="Q91" s="36">
        <v>46155</v>
      </c>
      <c r="S91" s="36">
        <v>46245</v>
      </c>
      <c r="X91" t="s">
        <v>103</v>
      </c>
      <c r="Y91" t="s">
        <v>219</v>
      </c>
      <c r="Z91" t="s">
        <v>220</v>
      </c>
      <c r="AA91" t="s">
        <v>113</v>
      </c>
      <c r="AB91" t="s">
        <v>212</v>
      </c>
      <c r="AC91" t="s">
        <v>53</v>
      </c>
      <c r="AD91" s="36">
        <v>46268</v>
      </c>
      <c r="AE91" t="s">
        <v>93</v>
      </c>
      <c r="AF91" s="36">
        <v>46245</v>
      </c>
      <c r="AG91" t="s">
        <v>114</v>
      </c>
      <c r="AH91" s="43">
        <v>100</v>
      </c>
      <c r="AI91" s="43">
        <v>100</v>
      </c>
      <c r="AJ91" s="44">
        <v>100</v>
      </c>
      <c r="AK91" t="s">
        <v>697</v>
      </c>
      <c r="AM91" t="s">
        <v>697</v>
      </c>
      <c r="AN91" s="39" t="str">
        <f>VLOOKUP(M91,[1]municipios!$B:$D,3,0)</f>
        <v>DOURADOS</v>
      </c>
      <c r="AO91" s="37">
        <f t="shared" ca="1" si="7"/>
        <v>133</v>
      </c>
      <c r="AP91" s="38" t="str">
        <f t="shared" ca="1" si="8"/>
        <v>&gt;50 dias</v>
      </c>
      <c r="AQ91" s="39" t="str">
        <f t="shared" ca="1" si="9"/>
        <v>Dentro</v>
      </c>
      <c r="AR91" s="39" t="str">
        <f t="shared" ca="1" si="10"/>
        <v>Não risco</v>
      </c>
      <c r="AS91" s="37" t="e">
        <f t="shared" si="11"/>
        <v>#VALUE!</v>
      </c>
      <c r="AT91" s="39">
        <f t="shared" ca="1" si="12"/>
        <v>90</v>
      </c>
      <c r="AU91" s="47" t="str">
        <f>VLOOKUP(X91,'pontos focais'!C:D,2,0)</f>
        <v>Central do Cliente</v>
      </c>
      <c r="AV91" s="41">
        <f t="shared" si="13"/>
        <v>-46155</v>
      </c>
    </row>
    <row r="92" spans="1:48" x14ac:dyDescent="0.25">
      <c r="A92" t="s">
        <v>813</v>
      </c>
      <c r="B92" t="s">
        <v>53</v>
      </c>
      <c r="C92" t="s">
        <v>43</v>
      </c>
      <c r="D92" t="s">
        <v>35</v>
      </c>
      <c r="E92" s="36">
        <v>46155</v>
      </c>
      <c r="F92" t="s">
        <v>113</v>
      </c>
      <c r="G92" t="s">
        <v>111</v>
      </c>
      <c r="H92" t="s">
        <v>111</v>
      </c>
      <c r="I92" t="s">
        <v>221</v>
      </c>
      <c r="J92" t="s">
        <v>697</v>
      </c>
      <c r="K92" t="s">
        <v>814</v>
      </c>
      <c r="L92" t="s">
        <v>39</v>
      </c>
      <c r="M92" t="s">
        <v>45</v>
      </c>
      <c r="N92" t="s">
        <v>14</v>
      </c>
      <c r="O92" t="s">
        <v>45</v>
      </c>
      <c r="P92" t="s">
        <v>218</v>
      </c>
      <c r="Q92" s="36">
        <v>46155</v>
      </c>
      <c r="R92" t="s">
        <v>218</v>
      </c>
      <c r="S92" s="36">
        <v>46184</v>
      </c>
      <c r="T92" t="s">
        <v>222</v>
      </c>
      <c r="U92" s="36">
        <v>46173</v>
      </c>
      <c r="X92" t="s">
        <v>69</v>
      </c>
      <c r="Y92" t="s">
        <v>223</v>
      </c>
      <c r="Z92" t="s">
        <v>220</v>
      </c>
      <c r="AA92" t="s">
        <v>113</v>
      </c>
      <c r="AB92" t="s">
        <v>212</v>
      </c>
      <c r="AC92" t="s">
        <v>53</v>
      </c>
      <c r="AD92" s="36">
        <v>46268</v>
      </c>
      <c r="AE92" t="s">
        <v>93</v>
      </c>
      <c r="AF92" s="36">
        <v>46184</v>
      </c>
      <c r="AG92" t="s">
        <v>69</v>
      </c>
      <c r="AH92" s="43">
        <v>100</v>
      </c>
      <c r="AI92" s="43">
        <v>100</v>
      </c>
      <c r="AJ92" s="44">
        <v>50</v>
      </c>
      <c r="AK92" t="s">
        <v>697</v>
      </c>
      <c r="AM92" t="s">
        <v>697</v>
      </c>
      <c r="AN92" s="39" t="str">
        <f>VLOOKUP(M92,[1]municipios!$B:$D,3,0)</f>
        <v>DOURADOS</v>
      </c>
      <c r="AO92" s="37">
        <f t="shared" ca="1" si="7"/>
        <v>133</v>
      </c>
      <c r="AP92" s="38" t="str">
        <f t="shared" ca="1" si="8"/>
        <v>&gt;50 dias</v>
      </c>
      <c r="AQ92" s="39" t="str">
        <f t="shared" ca="1" si="9"/>
        <v>Fora</v>
      </c>
      <c r="AR92" s="39" t="str">
        <f t="shared" ca="1" si="10"/>
        <v>Não risco</v>
      </c>
      <c r="AS92" s="37" t="e">
        <f t="shared" si="11"/>
        <v>#VALUE!</v>
      </c>
      <c r="AT92" s="39">
        <f t="shared" ca="1" si="12"/>
        <v>29</v>
      </c>
      <c r="AU92" s="47" t="str">
        <f>VLOOKUP(X92,'pontos focais'!C:D,2,0)</f>
        <v>DCMD Programação de Obra</v>
      </c>
      <c r="AV92" s="41">
        <f t="shared" si="13"/>
        <v>18</v>
      </c>
    </row>
    <row r="93" spans="1:48" x14ac:dyDescent="0.25">
      <c r="A93" t="s">
        <v>815</v>
      </c>
      <c r="B93" t="s">
        <v>53</v>
      </c>
      <c r="C93" t="s">
        <v>96</v>
      </c>
      <c r="D93" t="s">
        <v>35</v>
      </c>
      <c r="E93" s="36">
        <v>46156</v>
      </c>
      <c r="F93" t="s">
        <v>67</v>
      </c>
      <c r="G93" t="s">
        <v>111</v>
      </c>
      <c r="H93" t="s">
        <v>111</v>
      </c>
      <c r="I93" t="s">
        <v>697</v>
      </c>
      <c r="J93" t="s">
        <v>697</v>
      </c>
      <c r="K93" t="s">
        <v>697</v>
      </c>
      <c r="L93" t="s">
        <v>64</v>
      </c>
      <c r="M93" t="s">
        <v>65</v>
      </c>
      <c r="N93" t="s">
        <v>68</v>
      </c>
      <c r="O93" t="s">
        <v>65</v>
      </c>
      <c r="P93" t="s">
        <v>278</v>
      </c>
      <c r="Q93" s="36">
        <v>46162</v>
      </c>
      <c r="R93" t="s">
        <v>279</v>
      </c>
      <c r="S93" s="36">
        <v>46255</v>
      </c>
      <c r="T93" t="s">
        <v>671</v>
      </c>
      <c r="X93" t="s">
        <v>77</v>
      </c>
      <c r="Y93" t="s">
        <v>546</v>
      </c>
      <c r="Z93" t="s">
        <v>280</v>
      </c>
      <c r="AA93" t="s">
        <v>67</v>
      </c>
      <c r="AB93" t="s">
        <v>212</v>
      </c>
      <c r="AC93" t="s">
        <v>53</v>
      </c>
      <c r="AD93" s="36">
        <v>46255</v>
      </c>
      <c r="AE93" t="s">
        <v>214</v>
      </c>
      <c r="AF93" s="36">
        <v>46255</v>
      </c>
      <c r="AG93" t="s">
        <v>214</v>
      </c>
      <c r="AH93" s="43">
        <v>25</v>
      </c>
      <c r="AI93" s="43">
        <v>25</v>
      </c>
      <c r="AJ93" s="44">
        <v>25</v>
      </c>
      <c r="AK93" t="s">
        <v>697</v>
      </c>
      <c r="AM93" t="s">
        <v>697</v>
      </c>
      <c r="AN93" s="39" t="str">
        <f>VLOOKUP(M93,[1]municipios!$B:$D,3,0)</f>
        <v>CAMPO GRANDE</v>
      </c>
      <c r="AO93" s="37">
        <f t="shared" ca="1" si="7"/>
        <v>132</v>
      </c>
      <c r="AP93" s="38" t="str">
        <f t="shared" ca="1" si="8"/>
        <v>&gt;50 dias</v>
      </c>
      <c r="AQ93" s="39" t="str">
        <f t="shared" ca="1" si="9"/>
        <v>Dentro</v>
      </c>
      <c r="AR93" s="39" t="str">
        <f t="shared" ca="1" si="10"/>
        <v>Não risco</v>
      </c>
      <c r="AS93" s="37" t="e">
        <f t="shared" si="11"/>
        <v>#VALUE!</v>
      </c>
      <c r="AT93" s="39">
        <f t="shared" ca="1" si="12"/>
        <v>93</v>
      </c>
      <c r="AU93" s="47" t="str">
        <f>VLOOKUP(X93,'pontos focais'!C:D,2,0)</f>
        <v>DCMD Manutenção</v>
      </c>
      <c r="AV93" s="41">
        <f t="shared" si="13"/>
        <v>-46162</v>
      </c>
    </row>
    <row r="94" spans="1:48" x14ac:dyDescent="0.25">
      <c r="A94" t="s">
        <v>816</v>
      </c>
      <c r="B94" t="s">
        <v>53</v>
      </c>
      <c r="C94" t="s">
        <v>54</v>
      </c>
      <c r="D94" t="s">
        <v>78</v>
      </c>
      <c r="E94" s="36">
        <v>46054</v>
      </c>
      <c r="F94" t="s">
        <v>88</v>
      </c>
      <c r="G94" t="s">
        <v>111</v>
      </c>
      <c r="H94" t="s">
        <v>111</v>
      </c>
      <c r="I94" t="s">
        <v>697</v>
      </c>
      <c r="J94" t="s">
        <v>697</v>
      </c>
      <c r="K94" t="s">
        <v>697</v>
      </c>
      <c r="L94" t="s">
        <v>39</v>
      </c>
      <c r="M94" t="s">
        <v>264</v>
      </c>
      <c r="N94" t="s">
        <v>14</v>
      </c>
      <c r="O94" t="s">
        <v>264</v>
      </c>
      <c r="P94" t="s">
        <v>347</v>
      </c>
      <c r="Q94" s="36">
        <v>46160</v>
      </c>
      <c r="R94" t="s">
        <v>488</v>
      </c>
      <c r="S94" s="36">
        <v>46247</v>
      </c>
      <c r="T94" t="s">
        <v>613</v>
      </c>
      <c r="W94" s="36">
        <v>46247</v>
      </c>
      <c r="X94" t="s">
        <v>108</v>
      </c>
      <c r="Y94" t="s">
        <v>546</v>
      </c>
      <c r="Z94" t="s">
        <v>359</v>
      </c>
      <c r="AA94" t="s">
        <v>360</v>
      </c>
      <c r="AB94" t="s">
        <v>212</v>
      </c>
      <c r="AC94" t="s">
        <v>33</v>
      </c>
      <c r="AD94" s="36">
        <v>46268</v>
      </c>
      <c r="AE94" t="s">
        <v>93</v>
      </c>
      <c r="AF94" s="36">
        <v>46247</v>
      </c>
      <c r="AG94" t="s">
        <v>214</v>
      </c>
      <c r="AH94" s="43">
        <v>100</v>
      </c>
      <c r="AI94" s="43">
        <v>100</v>
      </c>
      <c r="AJ94" s="44">
        <v>100</v>
      </c>
      <c r="AK94" t="s">
        <v>697</v>
      </c>
      <c r="AM94" t="s">
        <v>697</v>
      </c>
      <c r="AN94" s="39" t="str">
        <f>VLOOKUP(M94,[1]municipios!$B:$D,3,0)</f>
        <v>DOURADOS</v>
      </c>
      <c r="AO94" s="37">
        <f t="shared" ca="1" si="7"/>
        <v>234</v>
      </c>
      <c r="AP94" s="38" t="str">
        <f t="shared" ca="1" si="8"/>
        <v>&gt;50 dias</v>
      </c>
      <c r="AQ94" s="39" t="str">
        <f t="shared" ca="1" si="9"/>
        <v>Dentro</v>
      </c>
      <c r="AR94" s="39" t="str">
        <f t="shared" ca="1" si="10"/>
        <v>Não risco</v>
      </c>
      <c r="AS94" s="37" t="str">
        <f t="shared" si="11"/>
        <v>Sim</v>
      </c>
      <c r="AT94" s="39">
        <f t="shared" ca="1" si="12"/>
        <v>87</v>
      </c>
      <c r="AU94" s="47" t="str">
        <f>VLOOKUP(X94,'pontos focais'!C:D,2,0)</f>
        <v>DEOP Qualidade</v>
      </c>
      <c r="AV94" s="41">
        <f t="shared" si="13"/>
        <v>-46160</v>
      </c>
    </row>
    <row r="95" spans="1:48" x14ac:dyDescent="0.25">
      <c r="A95" t="s">
        <v>816</v>
      </c>
      <c r="B95" t="s">
        <v>53</v>
      </c>
      <c r="C95" t="s">
        <v>54</v>
      </c>
      <c r="D95" t="s">
        <v>55</v>
      </c>
      <c r="E95" s="36">
        <v>46054</v>
      </c>
      <c r="F95" t="s">
        <v>88</v>
      </c>
      <c r="G95" t="s">
        <v>111</v>
      </c>
      <c r="H95" t="s">
        <v>111</v>
      </c>
      <c r="I95" t="s">
        <v>697</v>
      </c>
      <c r="J95" t="s">
        <v>697</v>
      </c>
      <c r="K95" t="s">
        <v>697</v>
      </c>
      <c r="L95" t="s">
        <v>39</v>
      </c>
      <c r="M95" t="s">
        <v>264</v>
      </c>
      <c r="N95" t="s">
        <v>14</v>
      </c>
      <c r="O95" t="s">
        <v>264</v>
      </c>
      <c r="P95" t="s">
        <v>347</v>
      </c>
      <c r="Q95" s="36">
        <v>46160</v>
      </c>
      <c r="R95" t="s">
        <v>489</v>
      </c>
      <c r="S95" s="36">
        <v>46247</v>
      </c>
      <c r="T95" t="s">
        <v>614</v>
      </c>
      <c r="W95" s="36">
        <v>46247</v>
      </c>
      <c r="X95" t="s">
        <v>88</v>
      </c>
      <c r="Y95" t="s">
        <v>546</v>
      </c>
      <c r="Z95" t="s">
        <v>359</v>
      </c>
      <c r="AA95" t="s">
        <v>360</v>
      </c>
      <c r="AB95" t="s">
        <v>212</v>
      </c>
      <c r="AC95" t="s">
        <v>53</v>
      </c>
      <c r="AD95" s="36">
        <v>46268</v>
      </c>
      <c r="AE95" t="s">
        <v>93</v>
      </c>
      <c r="AF95" s="36">
        <v>46247</v>
      </c>
      <c r="AG95" t="s">
        <v>214</v>
      </c>
      <c r="AH95" s="43">
        <v>100</v>
      </c>
      <c r="AI95" s="43">
        <v>100</v>
      </c>
      <c r="AJ95" s="44">
        <v>100</v>
      </c>
      <c r="AK95" t="s">
        <v>697</v>
      </c>
      <c r="AM95" t="s">
        <v>697</v>
      </c>
      <c r="AN95" s="39" t="str">
        <f>VLOOKUP(M95,[1]municipios!$B:$D,3,0)</f>
        <v>DOURADOS</v>
      </c>
      <c r="AO95" s="37">
        <f t="shared" ca="1" si="7"/>
        <v>234</v>
      </c>
      <c r="AP95" s="38" t="str">
        <f t="shared" ca="1" si="8"/>
        <v>&gt;50 dias</v>
      </c>
      <c r="AQ95" s="39" t="str">
        <f t="shared" ca="1" si="9"/>
        <v>Dentro</v>
      </c>
      <c r="AR95" s="39" t="str">
        <f t="shared" ca="1" si="10"/>
        <v>Não risco</v>
      </c>
      <c r="AS95" s="37" t="str">
        <f t="shared" si="11"/>
        <v>Sim</v>
      </c>
      <c r="AT95" s="39">
        <f t="shared" ca="1" si="12"/>
        <v>87</v>
      </c>
      <c r="AU95" s="47" t="str">
        <f>VLOOKUP(X95,'pontos focais'!C:D,2,0)</f>
        <v>DESC Agentes de Relacionamento</v>
      </c>
      <c r="AV95" s="41">
        <f t="shared" si="13"/>
        <v>-46160</v>
      </c>
    </row>
    <row r="96" spans="1:48" x14ac:dyDescent="0.25">
      <c r="A96" t="s">
        <v>816</v>
      </c>
      <c r="B96" t="s">
        <v>53</v>
      </c>
      <c r="C96" t="s">
        <v>34</v>
      </c>
      <c r="D96" t="s">
        <v>78</v>
      </c>
      <c r="E96" s="36">
        <v>46054</v>
      </c>
      <c r="F96" t="s">
        <v>88</v>
      </c>
      <c r="G96" t="s">
        <v>111</v>
      </c>
      <c r="H96" t="s">
        <v>111</v>
      </c>
      <c r="I96" t="s">
        <v>357</v>
      </c>
      <c r="J96" t="s">
        <v>697</v>
      </c>
      <c r="K96" t="s">
        <v>697</v>
      </c>
      <c r="L96" t="s">
        <v>39</v>
      </c>
      <c r="M96" t="s">
        <v>264</v>
      </c>
      <c r="N96" t="s">
        <v>14</v>
      </c>
      <c r="O96" t="s">
        <v>264</v>
      </c>
      <c r="P96" t="s">
        <v>347</v>
      </c>
      <c r="Q96" s="36">
        <v>46160</v>
      </c>
      <c r="R96" t="s">
        <v>358</v>
      </c>
      <c r="X96" t="s">
        <v>108</v>
      </c>
      <c r="Y96" t="s">
        <v>697</v>
      </c>
      <c r="Z96" t="s">
        <v>359</v>
      </c>
      <c r="AA96" t="s">
        <v>360</v>
      </c>
      <c r="AB96" t="s">
        <v>212</v>
      </c>
      <c r="AC96" t="s">
        <v>53</v>
      </c>
      <c r="AD96" s="36">
        <v>46268</v>
      </c>
      <c r="AE96" t="s">
        <v>93</v>
      </c>
      <c r="AF96" s="36">
        <v>46160</v>
      </c>
      <c r="AG96" t="s">
        <v>113</v>
      </c>
      <c r="AH96" s="43">
        <v>100</v>
      </c>
      <c r="AI96" s="43">
        <v>100</v>
      </c>
      <c r="AJ96" s="44">
        <v>50</v>
      </c>
      <c r="AK96" t="s">
        <v>697</v>
      </c>
      <c r="AM96" t="s">
        <v>697</v>
      </c>
      <c r="AN96" s="39" t="str">
        <f>VLOOKUP(M96,[1]municipios!$B:$D,3,0)</f>
        <v>DOURADOS</v>
      </c>
      <c r="AO96" s="37">
        <f t="shared" ca="1" si="7"/>
        <v>234</v>
      </c>
      <c r="AP96" s="38" t="str">
        <f t="shared" ca="1" si="8"/>
        <v>&gt;50 dias</v>
      </c>
      <c r="AQ96" s="39" t="str">
        <f t="shared" ca="1" si="9"/>
        <v>Dentro</v>
      </c>
      <c r="AR96" s="39" t="str">
        <f t="shared" ca="1" si="10"/>
        <v>Não risco</v>
      </c>
      <c r="AS96" s="37" t="str">
        <f t="shared" si="11"/>
        <v>Sim</v>
      </c>
      <c r="AT96" s="39">
        <f t="shared" ca="1" si="12"/>
        <v>128</v>
      </c>
      <c r="AU96" s="47" t="str">
        <f>VLOOKUP(X96,'pontos focais'!C:D,2,0)</f>
        <v>DEOP Qualidade</v>
      </c>
      <c r="AV96" s="41">
        <f t="shared" si="13"/>
        <v>-46160</v>
      </c>
    </row>
    <row r="97" spans="1:48" x14ac:dyDescent="0.25">
      <c r="A97" t="s">
        <v>817</v>
      </c>
      <c r="B97" t="s">
        <v>53</v>
      </c>
      <c r="C97" t="s">
        <v>54</v>
      </c>
      <c r="D97" t="s">
        <v>243</v>
      </c>
      <c r="E97" s="36">
        <v>46054</v>
      </c>
      <c r="F97" t="s">
        <v>88</v>
      </c>
      <c r="G97" t="s">
        <v>111</v>
      </c>
      <c r="H97" t="s">
        <v>111</v>
      </c>
      <c r="I97" t="s">
        <v>697</v>
      </c>
      <c r="J97" t="s">
        <v>697</v>
      </c>
      <c r="K97" t="s">
        <v>697</v>
      </c>
      <c r="L97" t="s">
        <v>39</v>
      </c>
      <c r="M97" t="s">
        <v>79</v>
      </c>
      <c r="N97" t="s">
        <v>14</v>
      </c>
      <c r="O97" t="s">
        <v>79</v>
      </c>
      <c r="P97" t="s">
        <v>347</v>
      </c>
      <c r="Q97" s="36">
        <v>46160</v>
      </c>
      <c r="R97" t="s">
        <v>490</v>
      </c>
      <c r="S97" s="36">
        <v>46246</v>
      </c>
      <c r="W97" s="36">
        <v>46246</v>
      </c>
      <c r="X97" t="s">
        <v>491</v>
      </c>
      <c r="Y97" t="s">
        <v>546</v>
      </c>
      <c r="Z97" t="s">
        <v>363</v>
      </c>
      <c r="AA97" t="s">
        <v>360</v>
      </c>
      <c r="AB97" t="s">
        <v>212</v>
      </c>
      <c r="AC97" t="s">
        <v>33</v>
      </c>
      <c r="AD97" s="36">
        <v>46268</v>
      </c>
      <c r="AE97" t="s">
        <v>93</v>
      </c>
      <c r="AF97" s="36">
        <v>46246</v>
      </c>
      <c r="AG97" t="s">
        <v>214</v>
      </c>
      <c r="AH97" s="43">
        <v>100</v>
      </c>
      <c r="AI97" s="43">
        <v>100</v>
      </c>
      <c r="AJ97" s="44">
        <v>100</v>
      </c>
      <c r="AK97" t="s">
        <v>697</v>
      </c>
      <c r="AM97" t="s">
        <v>697</v>
      </c>
      <c r="AN97" s="39" t="str">
        <f>VLOOKUP(M97,[1]municipios!$B:$D,3,0)</f>
        <v>NOVA ANDRADINA</v>
      </c>
      <c r="AO97" s="37">
        <f t="shared" ca="1" si="7"/>
        <v>234</v>
      </c>
      <c r="AP97" s="38" t="str">
        <f t="shared" ca="1" si="8"/>
        <v>&gt;50 dias</v>
      </c>
      <c r="AQ97" s="39" t="str">
        <f t="shared" ca="1" si="9"/>
        <v>Dentro</v>
      </c>
      <c r="AR97" s="39" t="str">
        <f t="shared" ca="1" si="10"/>
        <v>Não risco</v>
      </c>
      <c r="AS97" s="37" t="str">
        <f t="shared" si="11"/>
        <v>Sim</v>
      </c>
      <c r="AT97" s="39">
        <f t="shared" ca="1" si="12"/>
        <v>86</v>
      </c>
      <c r="AU97" s="47" t="str">
        <f>VLOOKUP(X97,'pontos focais'!C:D,2,0)</f>
        <v>Atendimento</v>
      </c>
      <c r="AV97" s="41">
        <f t="shared" si="13"/>
        <v>-46160</v>
      </c>
    </row>
    <row r="98" spans="1:48" x14ac:dyDescent="0.25">
      <c r="A98" t="s">
        <v>817</v>
      </c>
      <c r="B98" t="s">
        <v>53</v>
      </c>
      <c r="C98" t="s">
        <v>54</v>
      </c>
      <c r="D98" t="s">
        <v>55</v>
      </c>
      <c r="E98" s="36">
        <v>46054</v>
      </c>
      <c r="F98" t="s">
        <v>88</v>
      </c>
      <c r="G98" t="s">
        <v>111</v>
      </c>
      <c r="H98" t="s">
        <v>111</v>
      </c>
      <c r="I98" t="s">
        <v>697</v>
      </c>
      <c r="J98" t="s">
        <v>697</v>
      </c>
      <c r="K98" t="s">
        <v>697</v>
      </c>
      <c r="L98" t="s">
        <v>39</v>
      </c>
      <c r="M98" t="s">
        <v>79</v>
      </c>
      <c r="N98" t="s">
        <v>14</v>
      </c>
      <c r="O98" t="s">
        <v>79</v>
      </c>
      <c r="P98" t="s">
        <v>347</v>
      </c>
      <c r="Q98" s="36">
        <v>46160</v>
      </c>
      <c r="R98" t="s">
        <v>492</v>
      </c>
      <c r="S98" s="36">
        <v>46247</v>
      </c>
      <c r="X98" t="s">
        <v>88</v>
      </c>
      <c r="Y98" t="s">
        <v>316</v>
      </c>
      <c r="Z98" t="s">
        <v>363</v>
      </c>
      <c r="AA98" t="s">
        <v>360</v>
      </c>
      <c r="AB98" t="s">
        <v>212</v>
      </c>
      <c r="AC98" t="s">
        <v>53</v>
      </c>
      <c r="AD98" s="36">
        <v>46268</v>
      </c>
      <c r="AE98" t="s">
        <v>93</v>
      </c>
      <c r="AF98" s="36">
        <v>46247</v>
      </c>
      <c r="AG98" t="s">
        <v>155</v>
      </c>
      <c r="AH98" s="43">
        <v>100</v>
      </c>
      <c r="AI98" s="43">
        <v>100</v>
      </c>
      <c r="AJ98" s="44">
        <v>100</v>
      </c>
      <c r="AK98" t="s">
        <v>697</v>
      </c>
      <c r="AM98" t="s">
        <v>697</v>
      </c>
      <c r="AN98" s="39" t="str">
        <f>VLOOKUP(M98,[1]municipios!$B:$D,3,0)</f>
        <v>NOVA ANDRADINA</v>
      </c>
      <c r="AO98" s="37">
        <f t="shared" ca="1" si="7"/>
        <v>234</v>
      </c>
      <c r="AP98" s="38" t="str">
        <f t="shared" ca="1" si="8"/>
        <v>&gt;50 dias</v>
      </c>
      <c r="AQ98" s="39" t="str">
        <f t="shared" ca="1" si="9"/>
        <v>Dentro</v>
      </c>
      <c r="AR98" s="39" t="str">
        <f t="shared" ca="1" si="10"/>
        <v>Não risco</v>
      </c>
      <c r="AS98" s="37" t="str">
        <f t="shared" si="11"/>
        <v>Sim</v>
      </c>
      <c r="AT98" s="39">
        <f t="shared" ca="1" si="12"/>
        <v>87</v>
      </c>
      <c r="AU98" s="47" t="str">
        <f>VLOOKUP(X98,'pontos focais'!C:D,2,0)</f>
        <v>DESC Agentes de Relacionamento</v>
      </c>
      <c r="AV98" s="41">
        <f t="shared" si="13"/>
        <v>-46160</v>
      </c>
    </row>
    <row r="99" spans="1:48" x14ac:dyDescent="0.25">
      <c r="A99" t="s">
        <v>817</v>
      </c>
      <c r="B99" t="s">
        <v>53</v>
      </c>
      <c r="C99" t="s">
        <v>34</v>
      </c>
      <c r="D99" t="s">
        <v>35</v>
      </c>
      <c r="E99" s="36">
        <v>46054</v>
      </c>
      <c r="F99" t="s">
        <v>88</v>
      </c>
      <c r="G99" t="s">
        <v>111</v>
      </c>
      <c r="H99" t="s">
        <v>111</v>
      </c>
      <c r="I99" t="s">
        <v>361</v>
      </c>
      <c r="J99" t="s">
        <v>697</v>
      </c>
      <c r="K99" t="s">
        <v>697</v>
      </c>
      <c r="L99" t="s">
        <v>39</v>
      </c>
      <c r="M99" t="s">
        <v>79</v>
      </c>
      <c r="N99" t="s">
        <v>14</v>
      </c>
      <c r="O99" t="s">
        <v>79</v>
      </c>
      <c r="P99" t="s">
        <v>347</v>
      </c>
      <c r="Q99" s="36">
        <v>46160</v>
      </c>
      <c r="R99" t="s">
        <v>362</v>
      </c>
      <c r="X99" t="s">
        <v>106</v>
      </c>
      <c r="Y99" t="s">
        <v>697</v>
      </c>
      <c r="Z99" t="s">
        <v>363</v>
      </c>
      <c r="AA99" t="s">
        <v>360</v>
      </c>
      <c r="AB99" t="s">
        <v>212</v>
      </c>
      <c r="AC99" t="s">
        <v>53</v>
      </c>
      <c r="AD99" s="36">
        <v>46268</v>
      </c>
      <c r="AE99" t="s">
        <v>93</v>
      </c>
      <c r="AF99" s="36">
        <v>46160</v>
      </c>
      <c r="AG99" t="s">
        <v>113</v>
      </c>
      <c r="AH99" s="43">
        <v>100</v>
      </c>
      <c r="AI99" s="43">
        <v>100</v>
      </c>
      <c r="AJ99" s="44">
        <v>50</v>
      </c>
      <c r="AK99" t="s">
        <v>697</v>
      </c>
      <c r="AM99" t="s">
        <v>697</v>
      </c>
      <c r="AN99" s="39" t="str">
        <f>VLOOKUP(M99,[1]municipios!$B:$D,3,0)</f>
        <v>NOVA ANDRADINA</v>
      </c>
      <c r="AO99" s="37">
        <f t="shared" ca="1" si="7"/>
        <v>234</v>
      </c>
      <c r="AP99" s="38" t="str">
        <f t="shared" ca="1" si="8"/>
        <v>&gt;50 dias</v>
      </c>
      <c r="AQ99" s="39" t="str">
        <f t="shared" ca="1" si="9"/>
        <v>Dentro</v>
      </c>
      <c r="AR99" s="39" t="str">
        <f t="shared" ca="1" si="10"/>
        <v>Não risco</v>
      </c>
      <c r="AS99" s="37" t="str">
        <f t="shared" si="11"/>
        <v>Sim</v>
      </c>
      <c r="AT99" s="39">
        <f t="shared" ca="1" si="12"/>
        <v>128</v>
      </c>
      <c r="AU99" s="47" t="s">
        <v>584</v>
      </c>
      <c r="AV99" s="41">
        <f t="shared" si="13"/>
        <v>-46160</v>
      </c>
    </row>
    <row r="100" spans="1:48" x14ac:dyDescent="0.25">
      <c r="A100" t="s">
        <v>818</v>
      </c>
      <c r="B100" t="s">
        <v>53</v>
      </c>
      <c r="C100" t="s">
        <v>133</v>
      </c>
      <c r="D100" t="s">
        <v>118</v>
      </c>
      <c r="E100" s="36">
        <v>46063</v>
      </c>
      <c r="F100" t="s">
        <v>56</v>
      </c>
      <c r="G100" t="s">
        <v>111</v>
      </c>
      <c r="H100" t="s">
        <v>111</v>
      </c>
      <c r="I100" t="s">
        <v>697</v>
      </c>
      <c r="J100" t="s">
        <v>697</v>
      </c>
      <c r="K100" t="s">
        <v>697</v>
      </c>
      <c r="L100" t="s">
        <v>64</v>
      </c>
      <c r="M100" t="s">
        <v>205</v>
      </c>
      <c r="N100" t="s">
        <v>14</v>
      </c>
      <c r="O100" t="s">
        <v>205</v>
      </c>
      <c r="P100" t="s">
        <v>224</v>
      </c>
      <c r="Q100" s="36">
        <v>46238</v>
      </c>
      <c r="R100" t="s">
        <v>225</v>
      </c>
      <c r="S100" s="36">
        <v>46238</v>
      </c>
      <c r="W100" s="36">
        <v>46238</v>
      </c>
      <c r="X100" t="s">
        <v>71</v>
      </c>
      <c r="Y100" t="s">
        <v>70</v>
      </c>
      <c r="Z100" t="s">
        <v>226</v>
      </c>
      <c r="AA100" t="s">
        <v>227</v>
      </c>
      <c r="AB100" t="s">
        <v>212</v>
      </c>
      <c r="AC100" t="s">
        <v>53</v>
      </c>
      <c r="AD100" s="36">
        <v>46268</v>
      </c>
      <c r="AE100" t="s">
        <v>93</v>
      </c>
      <c r="AF100" s="36">
        <v>46238</v>
      </c>
      <c r="AG100" t="s">
        <v>71</v>
      </c>
      <c r="AH100" s="43">
        <v>100</v>
      </c>
      <c r="AI100" s="43">
        <v>100</v>
      </c>
      <c r="AJ100" s="44">
        <v>100</v>
      </c>
      <c r="AK100" t="s">
        <v>697</v>
      </c>
      <c r="AM100" t="s">
        <v>697</v>
      </c>
      <c r="AN100" s="39" t="str">
        <f>VLOOKUP(M100,[1]municipios!$B:$D,3,0)</f>
        <v>CAMPO GRANDE INTERIOR</v>
      </c>
      <c r="AO100" s="37">
        <f t="shared" ca="1" si="7"/>
        <v>225</v>
      </c>
      <c r="AP100" s="38" t="str">
        <f t="shared" ca="1" si="8"/>
        <v>&gt;50 dias</v>
      </c>
      <c r="AQ100" s="39" t="str">
        <f t="shared" ca="1" si="9"/>
        <v>Dentro</v>
      </c>
      <c r="AR100" s="39" t="str">
        <f t="shared" ca="1" si="10"/>
        <v>Não risco</v>
      </c>
      <c r="AS100" s="37" t="str">
        <f t="shared" si="11"/>
        <v>Sim</v>
      </c>
      <c r="AT100" s="39">
        <f t="shared" ca="1" si="12"/>
        <v>0</v>
      </c>
      <c r="AU100" s="47" t="str">
        <f>VLOOKUP(X100,'pontos focais'!C:D,2,0)</f>
        <v>Central do Cliente</v>
      </c>
      <c r="AV100" s="41">
        <f t="shared" si="13"/>
        <v>-46238</v>
      </c>
    </row>
    <row r="101" spans="1:48" x14ac:dyDescent="0.25">
      <c r="A101" t="s">
        <v>875</v>
      </c>
      <c r="B101" t="s">
        <v>53</v>
      </c>
      <c r="C101" t="s">
        <v>74</v>
      </c>
      <c r="D101" t="s">
        <v>35</v>
      </c>
      <c r="E101" s="36">
        <v>45982</v>
      </c>
      <c r="F101" t="s">
        <v>67</v>
      </c>
      <c r="G101" t="s">
        <v>111</v>
      </c>
      <c r="H101" t="s">
        <v>111</v>
      </c>
      <c r="I101" t="s">
        <v>697</v>
      </c>
      <c r="J101" t="s">
        <v>697</v>
      </c>
      <c r="K101" t="s">
        <v>697</v>
      </c>
      <c r="L101" t="s">
        <v>64</v>
      </c>
      <c r="M101" t="s">
        <v>85</v>
      </c>
      <c r="N101" t="s">
        <v>14</v>
      </c>
      <c r="O101" t="s">
        <v>85</v>
      </c>
      <c r="P101" t="s">
        <v>281</v>
      </c>
      <c r="Q101" s="36">
        <v>46160</v>
      </c>
      <c r="R101" t="s">
        <v>282</v>
      </c>
      <c r="S101" s="36">
        <v>46266</v>
      </c>
      <c r="T101" t="s">
        <v>1020</v>
      </c>
      <c r="W101" s="36">
        <v>46266</v>
      </c>
      <c r="X101" t="s">
        <v>77</v>
      </c>
      <c r="Y101" t="s">
        <v>70</v>
      </c>
      <c r="AA101" t="s">
        <v>67</v>
      </c>
      <c r="AB101" t="s">
        <v>212</v>
      </c>
      <c r="AC101" t="s">
        <v>53</v>
      </c>
      <c r="AD101" s="36">
        <v>46268</v>
      </c>
      <c r="AE101" t="s">
        <v>93</v>
      </c>
      <c r="AF101" s="36">
        <v>46266</v>
      </c>
      <c r="AG101" t="s">
        <v>71</v>
      </c>
      <c r="AH101" s="43">
        <v>100</v>
      </c>
      <c r="AI101" s="43">
        <v>100</v>
      </c>
      <c r="AJ101" s="44">
        <v>100</v>
      </c>
      <c r="AK101" t="s">
        <v>697</v>
      </c>
      <c r="AM101" t="s">
        <v>697</v>
      </c>
      <c r="AN101" s="39" t="str">
        <f>VLOOKUP(M101,[1]municipios!$B:$D,3,0)</f>
        <v>CAMPO GRANDE INTERIOR</v>
      </c>
      <c r="AO101" s="37">
        <f t="shared" ca="1" si="7"/>
        <v>306</v>
      </c>
      <c r="AP101" s="38" t="str">
        <f t="shared" ca="1" si="8"/>
        <v>&gt;50 dias</v>
      </c>
      <c r="AQ101" s="39" t="str">
        <f t="shared" ca="1" si="9"/>
        <v>Dentro</v>
      </c>
      <c r="AR101" s="39" t="str">
        <f t="shared" ca="1" si="10"/>
        <v>Não risco</v>
      </c>
      <c r="AS101" s="37" t="e">
        <f t="shared" si="11"/>
        <v>#VALUE!</v>
      </c>
      <c r="AT101" s="39">
        <f t="shared" ca="1" si="12"/>
        <v>106</v>
      </c>
      <c r="AU101" s="47" t="str">
        <f>VLOOKUP(X101,'pontos focais'!C:D,2,0)</f>
        <v>DCMD Manutenção</v>
      </c>
      <c r="AV101" s="41">
        <f t="shared" si="13"/>
        <v>-46160</v>
      </c>
    </row>
    <row r="102" spans="1:48" x14ac:dyDescent="0.25">
      <c r="A102" t="s">
        <v>819</v>
      </c>
      <c r="B102" t="s">
        <v>53</v>
      </c>
      <c r="C102" t="s">
        <v>54</v>
      </c>
      <c r="D102" t="s">
        <v>35</v>
      </c>
      <c r="E102" s="36">
        <v>46139.041666666664</v>
      </c>
      <c r="F102" t="s">
        <v>67</v>
      </c>
      <c r="G102" t="s">
        <v>111</v>
      </c>
      <c r="H102" t="s">
        <v>111</v>
      </c>
      <c r="I102" t="s">
        <v>697</v>
      </c>
      <c r="J102" t="s">
        <v>820</v>
      </c>
      <c r="K102" t="s">
        <v>803</v>
      </c>
      <c r="L102" t="s">
        <v>64</v>
      </c>
      <c r="M102" t="s">
        <v>107</v>
      </c>
      <c r="N102" t="s">
        <v>14</v>
      </c>
      <c r="O102" t="s">
        <v>107</v>
      </c>
      <c r="P102" t="s">
        <v>642</v>
      </c>
      <c r="Q102" s="36">
        <v>46160</v>
      </c>
      <c r="R102" t="s">
        <v>368</v>
      </c>
      <c r="S102" s="36">
        <v>46218</v>
      </c>
      <c r="U102" s="36">
        <v>46141</v>
      </c>
      <c r="V102" s="36">
        <v>46216</v>
      </c>
      <c r="X102" t="s">
        <v>69</v>
      </c>
      <c r="Y102" t="s">
        <v>94</v>
      </c>
      <c r="AA102" t="s">
        <v>67</v>
      </c>
      <c r="AB102" t="s">
        <v>212</v>
      </c>
      <c r="AC102" t="s">
        <v>53</v>
      </c>
      <c r="AD102" s="36">
        <v>46268</v>
      </c>
      <c r="AE102" t="s">
        <v>93</v>
      </c>
      <c r="AF102" s="36">
        <v>46218</v>
      </c>
      <c r="AG102" t="s">
        <v>72</v>
      </c>
      <c r="AH102" s="43">
        <v>100</v>
      </c>
      <c r="AI102" s="43">
        <v>100</v>
      </c>
      <c r="AJ102" s="44">
        <v>100</v>
      </c>
      <c r="AK102" t="s">
        <v>697</v>
      </c>
      <c r="AM102" t="s">
        <v>697</v>
      </c>
      <c r="AN102" s="39" t="str">
        <f>VLOOKUP(M102,[1]municipios!$B:$D,3,0)</f>
        <v>CAMPO GRANDE INTERIOR</v>
      </c>
      <c r="AO102" s="37">
        <f t="shared" ca="1" si="7"/>
        <v>148.95833333333576</v>
      </c>
      <c r="AP102" s="38" t="str">
        <f t="shared" ca="1" si="8"/>
        <v>&gt;50 dias</v>
      </c>
      <c r="AQ102" s="39" t="str">
        <f t="shared" ca="1" si="9"/>
        <v>Fora</v>
      </c>
      <c r="AR102" s="39" t="str">
        <f t="shared" ca="1" si="10"/>
        <v>Não risco</v>
      </c>
      <c r="AS102" s="37" t="e">
        <f t="shared" si="11"/>
        <v>#VALUE!</v>
      </c>
      <c r="AT102" s="39">
        <f t="shared" ca="1" si="12"/>
        <v>58</v>
      </c>
      <c r="AU102" s="47" t="str">
        <f>VLOOKUP(X102,'pontos focais'!C:D,2,0)</f>
        <v>DCMD Programação de Obra</v>
      </c>
      <c r="AV102" s="41">
        <f t="shared" si="13"/>
        <v>-19</v>
      </c>
    </row>
    <row r="103" spans="1:48" x14ac:dyDescent="0.25">
      <c r="A103" t="s">
        <v>819</v>
      </c>
      <c r="B103" t="s">
        <v>53</v>
      </c>
      <c r="C103" t="s">
        <v>54</v>
      </c>
      <c r="D103" t="s">
        <v>55</v>
      </c>
      <c r="E103" s="36">
        <v>46139.041666666664</v>
      </c>
      <c r="F103" t="s">
        <v>67</v>
      </c>
      <c r="G103" t="s">
        <v>111</v>
      </c>
      <c r="H103" t="s">
        <v>111</v>
      </c>
      <c r="I103" t="s">
        <v>697</v>
      </c>
      <c r="J103" t="s">
        <v>820</v>
      </c>
      <c r="K103" t="s">
        <v>803</v>
      </c>
      <c r="L103" t="s">
        <v>64</v>
      </c>
      <c r="M103" t="s">
        <v>107</v>
      </c>
      <c r="N103" t="s">
        <v>14</v>
      </c>
      <c r="O103" t="s">
        <v>107</v>
      </c>
      <c r="P103" t="s">
        <v>642</v>
      </c>
      <c r="Q103" s="36">
        <v>46238</v>
      </c>
      <c r="R103" t="s">
        <v>493</v>
      </c>
      <c r="S103" s="36">
        <v>46252</v>
      </c>
      <c r="W103" s="36">
        <v>46252</v>
      </c>
      <c r="X103" t="s">
        <v>49</v>
      </c>
      <c r="Y103" t="s">
        <v>546</v>
      </c>
      <c r="AA103" t="s">
        <v>67</v>
      </c>
      <c r="AB103" t="s">
        <v>212</v>
      </c>
      <c r="AC103" t="s">
        <v>53</v>
      </c>
      <c r="AD103" s="36">
        <v>46268</v>
      </c>
      <c r="AE103" t="s">
        <v>93</v>
      </c>
      <c r="AF103" s="36">
        <v>46252</v>
      </c>
      <c r="AG103" t="s">
        <v>214</v>
      </c>
      <c r="AH103" s="43">
        <v>100</v>
      </c>
      <c r="AI103" s="43">
        <v>100</v>
      </c>
      <c r="AJ103" s="44">
        <v>100</v>
      </c>
      <c r="AK103" t="s">
        <v>697</v>
      </c>
      <c r="AM103" t="s">
        <v>697</v>
      </c>
      <c r="AN103" s="39" t="str">
        <f>VLOOKUP(M103,[1]municipios!$B:$D,3,0)</f>
        <v>CAMPO GRANDE INTERIOR</v>
      </c>
      <c r="AO103" s="37">
        <f t="shared" ca="1" si="7"/>
        <v>148.95833333333576</v>
      </c>
      <c r="AP103" s="38" t="str">
        <f t="shared" ca="1" si="8"/>
        <v>&gt;50 dias</v>
      </c>
      <c r="AQ103" s="39" t="str">
        <f t="shared" ca="1" si="9"/>
        <v>Dentro</v>
      </c>
      <c r="AR103" s="39" t="str">
        <f t="shared" ca="1" si="10"/>
        <v>Não risco</v>
      </c>
      <c r="AS103" s="37" t="e">
        <f t="shared" si="11"/>
        <v>#VALUE!</v>
      </c>
      <c r="AT103" s="39">
        <f t="shared" ca="1" si="12"/>
        <v>14</v>
      </c>
      <c r="AU103" s="47" t="str">
        <f>VLOOKUP(X103,'pontos focais'!C:D,2,0)</f>
        <v>DESC Agentes de Relacionamento</v>
      </c>
      <c r="AV103" s="41">
        <f t="shared" si="13"/>
        <v>-46238</v>
      </c>
    </row>
    <row r="104" spans="1:48" x14ac:dyDescent="0.25">
      <c r="A104" t="s">
        <v>904</v>
      </c>
      <c r="B104" t="s">
        <v>53</v>
      </c>
      <c r="C104" t="s">
        <v>133</v>
      </c>
      <c r="D104" t="s">
        <v>203</v>
      </c>
      <c r="E104" s="36">
        <v>45982</v>
      </c>
      <c r="F104" t="s">
        <v>67</v>
      </c>
      <c r="G104" t="s">
        <v>111</v>
      </c>
      <c r="H104" t="s">
        <v>111</v>
      </c>
      <c r="I104" t="s">
        <v>369</v>
      </c>
      <c r="J104" t="s">
        <v>697</v>
      </c>
      <c r="K104" t="s">
        <v>697</v>
      </c>
      <c r="L104" t="s">
        <v>39</v>
      </c>
      <c r="M104" t="s">
        <v>109</v>
      </c>
      <c r="N104" t="s">
        <v>14</v>
      </c>
      <c r="O104" t="s">
        <v>109</v>
      </c>
      <c r="P104" t="s">
        <v>370</v>
      </c>
      <c r="Q104" s="36">
        <v>46160</v>
      </c>
      <c r="R104" t="s">
        <v>371</v>
      </c>
      <c r="X104" t="s">
        <v>67</v>
      </c>
      <c r="Y104" t="s">
        <v>697</v>
      </c>
      <c r="AA104" t="s">
        <v>67</v>
      </c>
      <c r="AB104" t="s">
        <v>212</v>
      </c>
      <c r="AC104" t="s">
        <v>53</v>
      </c>
      <c r="AD104" s="36">
        <v>46249</v>
      </c>
      <c r="AE104" t="s">
        <v>93</v>
      </c>
      <c r="AF104" s="36">
        <v>46160</v>
      </c>
      <c r="AG104" t="s">
        <v>113</v>
      </c>
      <c r="AH104" s="43">
        <v>100</v>
      </c>
      <c r="AI104" s="43">
        <v>100</v>
      </c>
      <c r="AJ104" s="44">
        <v>50</v>
      </c>
      <c r="AK104" t="s">
        <v>697</v>
      </c>
      <c r="AM104" t="s">
        <v>697</v>
      </c>
      <c r="AN104" s="39" t="str">
        <f>VLOOKUP(M104,[1]municipios!$B:$D,3,0)</f>
        <v>RIO BRILHANTE</v>
      </c>
      <c r="AO104" s="37">
        <f t="shared" ca="1" si="7"/>
        <v>306</v>
      </c>
      <c r="AP104" s="38" t="str">
        <f t="shared" ca="1" si="8"/>
        <v>&gt;50 dias</v>
      </c>
      <c r="AQ104" s="39" t="str">
        <f t="shared" ca="1" si="9"/>
        <v>Dentro</v>
      </c>
      <c r="AR104" s="39" t="str">
        <f t="shared" ca="1" si="10"/>
        <v>Não risco</v>
      </c>
      <c r="AS104" s="37" t="e">
        <f t="shared" si="11"/>
        <v>#VALUE!</v>
      </c>
      <c r="AT104" s="39">
        <f t="shared" ca="1" si="12"/>
        <v>128</v>
      </c>
      <c r="AU104" s="47" t="str">
        <f>VLOOKUP(X104,'pontos focais'!C:D,2,0)</f>
        <v>Institucional</v>
      </c>
      <c r="AV104" s="41">
        <f t="shared" si="13"/>
        <v>-46160</v>
      </c>
    </row>
    <row r="105" spans="1:48" x14ac:dyDescent="0.25">
      <c r="A105" t="s">
        <v>904</v>
      </c>
      <c r="B105" t="s">
        <v>53</v>
      </c>
      <c r="C105" t="s">
        <v>74</v>
      </c>
      <c r="D105" t="s">
        <v>35</v>
      </c>
      <c r="E105" s="36">
        <v>45982</v>
      </c>
      <c r="F105" t="s">
        <v>67</v>
      </c>
      <c r="G105" t="s">
        <v>111</v>
      </c>
      <c r="H105" t="s">
        <v>111</v>
      </c>
      <c r="I105" t="s">
        <v>697</v>
      </c>
      <c r="J105" t="s">
        <v>697</v>
      </c>
      <c r="K105" t="s">
        <v>697</v>
      </c>
      <c r="L105" t="s">
        <v>39</v>
      </c>
      <c r="M105" t="s">
        <v>109</v>
      </c>
      <c r="N105" t="s">
        <v>14</v>
      </c>
      <c r="O105" t="s">
        <v>109</v>
      </c>
      <c r="P105" t="s">
        <v>370</v>
      </c>
      <c r="Q105" s="36">
        <v>46160</v>
      </c>
      <c r="R105" t="s">
        <v>494</v>
      </c>
      <c r="S105" s="36">
        <v>46266</v>
      </c>
      <c r="T105" t="s">
        <v>1021</v>
      </c>
      <c r="W105" s="36">
        <v>46266</v>
      </c>
      <c r="X105" t="s">
        <v>77</v>
      </c>
      <c r="Y105" t="s">
        <v>70</v>
      </c>
      <c r="AA105" t="s">
        <v>67</v>
      </c>
      <c r="AB105" t="s">
        <v>212</v>
      </c>
      <c r="AC105" t="s">
        <v>53</v>
      </c>
      <c r="AD105" s="36">
        <v>46266</v>
      </c>
      <c r="AE105" t="s">
        <v>71</v>
      </c>
      <c r="AF105" s="36">
        <v>46266</v>
      </c>
      <c r="AG105" t="s">
        <v>71</v>
      </c>
      <c r="AH105" s="43">
        <v>100</v>
      </c>
      <c r="AI105" s="43">
        <v>100</v>
      </c>
      <c r="AJ105" s="44">
        <v>100</v>
      </c>
      <c r="AK105" t="s">
        <v>697</v>
      </c>
      <c r="AM105" t="s">
        <v>697</v>
      </c>
      <c r="AN105" s="39" t="str">
        <f>VLOOKUP(M105,[1]municipios!$B:$D,3,0)</f>
        <v>RIO BRILHANTE</v>
      </c>
      <c r="AO105" s="37">
        <f t="shared" ca="1" si="7"/>
        <v>306</v>
      </c>
      <c r="AP105" s="38" t="str">
        <f t="shared" ca="1" si="8"/>
        <v>&gt;50 dias</v>
      </c>
      <c r="AQ105" s="39" t="str">
        <f t="shared" ca="1" si="9"/>
        <v>Dentro</v>
      </c>
      <c r="AR105" s="39" t="str">
        <f t="shared" ca="1" si="10"/>
        <v>Não risco</v>
      </c>
      <c r="AS105" s="37" t="e">
        <f t="shared" si="11"/>
        <v>#VALUE!</v>
      </c>
      <c r="AT105" s="39">
        <f t="shared" ca="1" si="12"/>
        <v>106</v>
      </c>
      <c r="AU105" s="47" t="s">
        <v>584</v>
      </c>
      <c r="AV105" s="41">
        <f t="shared" si="13"/>
        <v>-46160</v>
      </c>
    </row>
    <row r="106" spans="1:48" x14ac:dyDescent="0.25">
      <c r="A106" t="s">
        <v>821</v>
      </c>
      <c r="B106" t="s">
        <v>53</v>
      </c>
      <c r="C106" t="s">
        <v>54</v>
      </c>
      <c r="D106" t="s">
        <v>118</v>
      </c>
      <c r="E106" s="36">
        <v>45982</v>
      </c>
      <c r="F106" t="s">
        <v>67</v>
      </c>
      <c r="G106" t="s">
        <v>111</v>
      </c>
      <c r="H106" t="s">
        <v>111</v>
      </c>
      <c r="I106" t="s">
        <v>372</v>
      </c>
      <c r="J106" t="s">
        <v>697</v>
      </c>
      <c r="K106" t="s">
        <v>697</v>
      </c>
      <c r="L106" t="s">
        <v>64</v>
      </c>
      <c r="M106" t="s">
        <v>97</v>
      </c>
      <c r="N106" t="s">
        <v>14</v>
      </c>
      <c r="O106" t="s">
        <v>97</v>
      </c>
      <c r="P106" t="s">
        <v>373</v>
      </c>
      <c r="Q106" s="36">
        <v>46160</v>
      </c>
      <c r="R106" t="s">
        <v>374</v>
      </c>
      <c r="X106" s="59" t="s">
        <v>375</v>
      </c>
      <c r="Y106" t="s">
        <v>697</v>
      </c>
      <c r="AA106" t="s">
        <v>67</v>
      </c>
      <c r="AB106" t="s">
        <v>212</v>
      </c>
      <c r="AC106" t="s">
        <v>53</v>
      </c>
      <c r="AD106" s="36">
        <v>46268</v>
      </c>
      <c r="AE106" t="s">
        <v>93</v>
      </c>
      <c r="AF106" s="36">
        <v>46160</v>
      </c>
      <c r="AG106" t="s">
        <v>113</v>
      </c>
      <c r="AH106" s="43">
        <v>100</v>
      </c>
      <c r="AI106" s="43">
        <v>100</v>
      </c>
      <c r="AJ106" s="44">
        <v>50</v>
      </c>
      <c r="AK106" t="s">
        <v>697</v>
      </c>
      <c r="AM106" t="s">
        <v>697</v>
      </c>
      <c r="AN106" s="39" t="str">
        <f>VLOOKUP(M106,[1]municipios!$B:$D,3,0)</f>
        <v>PARANAIBA</v>
      </c>
      <c r="AO106" s="37">
        <f t="shared" ca="1" si="7"/>
        <v>306</v>
      </c>
      <c r="AP106" s="38" t="str">
        <f t="shared" ca="1" si="8"/>
        <v>&gt;50 dias</v>
      </c>
      <c r="AQ106" s="39" t="str">
        <f t="shared" ca="1" si="9"/>
        <v>Dentro</v>
      </c>
      <c r="AR106" s="39" t="str">
        <f t="shared" ca="1" si="10"/>
        <v>Não risco</v>
      </c>
      <c r="AS106" s="37" t="e">
        <f t="shared" si="11"/>
        <v>#VALUE!</v>
      </c>
      <c r="AT106" s="39">
        <f t="shared" ca="1" si="12"/>
        <v>128</v>
      </c>
      <c r="AU106" s="47" t="str">
        <f>VLOOKUP(X106,'pontos focais'!C:D,2,0)</f>
        <v>DCMD Orçamento e Projetos</v>
      </c>
      <c r="AV106" s="41">
        <f t="shared" si="13"/>
        <v>-46160</v>
      </c>
    </row>
    <row r="107" spans="1:48" x14ac:dyDescent="0.25">
      <c r="A107" t="s">
        <v>821</v>
      </c>
      <c r="B107" t="s">
        <v>53</v>
      </c>
      <c r="C107" t="s">
        <v>54</v>
      </c>
      <c r="D107" t="s">
        <v>35</v>
      </c>
      <c r="E107" s="36">
        <v>45982</v>
      </c>
      <c r="F107" t="s">
        <v>67</v>
      </c>
      <c r="G107" t="s">
        <v>111</v>
      </c>
      <c r="H107" t="s">
        <v>111</v>
      </c>
      <c r="I107" t="s">
        <v>372</v>
      </c>
      <c r="J107" t="s">
        <v>697</v>
      </c>
      <c r="K107" t="s">
        <v>697</v>
      </c>
      <c r="L107" t="s">
        <v>64</v>
      </c>
      <c r="M107" t="s">
        <v>97</v>
      </c>
      <c r="N107" t="s">
        <v>14</v>
      </c>
      <c r="O107" t="s">
        <v>97</v>
      </c>
      <c r="P107" t="s">
        <v>373</v>
      </c>
      <c r="Q107" s="36">
        <v>46160</v>
      </c>
      <c r="R107" t="s">
        <v>376</v>
      </c>
      <c r="S107" s="36">
        <v>46195</v>
      </c>
      <c r="U107" s="36">
        <v>46112</v>
      </c>
      <c r="W107" s="36">
        <v>46111</v>
      </c>
      <c r="X107" t="s">
        <v>66</v>
      </c>
      <c r="Y107" t="s">
        <v>82</v>
      </c>
      <c r="AA107" t="s">
        <v>67</v>
      </c>
      <c r="AB107" t="s">
        <v>212</v>
      </c>
      <c r="AC107" t="s">
        <v>53</v>
      </c>
      <c r="AD107" s="36">
        <v>46268</v>
      </c>
      <c r="AE107" t="s">
        <v>93</v>
      </c>
      <c r="AF107" s="36">
        <v>46195</v>
      </c>
      <c r="AG107" t="s">
        <v>83</v>
      </c>
      <c r="AH107" s="43">
        <v>100</v>
      </c>
      <c r="AI107" s="43">
        <v>100</v>
      </c>
      <c r="AJ107" s="44">
        <v>100</v>
      </c>
      <c r="AK107" t="s">
        <v>697</v>
      </c>
      <c r="AM107" t="s">
        <v>697</v>
      </c>
      <c r="AN107" s="39" t="str">
        <f>VLOOKUP(M107,[1]municipios!$B:$D,3,0)</f>
        <v>PARANAIBA</v>
      </c>
      <c r="AO107" s="37">
        <f t="shared" ca="1" si="7"/>
        <v>306</v>
      </c>
      <c r="AP107" s="38" t="str">
        <f t="shared" ca="1" si="8"/>
        <v>&gt;50 dias</v>
      </c>
      <c r="AQ107" s="39" t="str">
        <f t="shared" ca="1" si="9"/>
        <v>Dentro</v>
      </c>
      <c r="AR107" s="39" t="str">
        <f t="shared" ca="1" si="10"/>
        <v>Não risco</v>
      </c>
      <c r="AS107" s="37" t="e">
        <f t="shared" si="11"/>
        <v>#VALUE!</v>
      </c>
      <c r="AT107" s="39">
        <f t="shared" ca="1" si="12"/>
        <v>35</v>
      </c>
      <c r="AU107" s="47" t="str">
        <f>VLOOKUP(X107,'pontos focais'!C:D,2,0)</f>
        <v>DCMD Orçamento e Projetos</v>
      </c>
      <c r="AV107" s="41">
        <f t="shared" si="13"/>
        <v>-48</v>
      </c>
    </row>
    <row r="108" spans="1:48" x14ac:dyDescent="0.25">
      <c r="A108" t="s">
        <v>821</v>
      </c>
      <c r="B108" t="s">
        <v>53</v>
      </c>
      <c r="C108" t="s">
        <v>54</v>
      </c>
      <c r="D108" t="s">
        <v>78</v>
      </c>
      <c r="E108" s="36">
        <v>45982</v>
      </c>
      <c r="F108" t="s">
        <v>67</v>
      </c>
      <c r="G108" t="s">
        <v>111</v>
      </c>
      <c r="H108" t="s">
        <v>156</v>
      </c>
      <c r="I108" t="s">
        <v>372</v>
      </c>
      <c r="J108" t="s">
        <v>697</v>
      </c>
      <c r="K108" t="s">
        <v>697</v>
      </c>
      <c r="L108" t="s">
        <v>64</v>
      </c>
      <c r="M108" t="s">
        <v>97</v>
      </c>
      <c r="N108" t="s">
        <v>14</v>
      </c>
      <c r="O108" t="s">
        <v>97</v>
      </c>
      <c r="P108" t="s">
        <v>373</v>
      </c>
      <c r="Q108" s="36">
        <v>46160</v>
      </c>
      <c r="R108" t="s">
        <v>495</v>
      </c>
      <c r="X108" t="s">
        <v>108</v>
      </c>
      <c r="Y108" t="s">
        <v>697</v>
      </c>
      <c r="AA108" t="s">
        <v>67</v>
      </c>
      <c r="AB108" t="s">
        <v>212</v>
      </c>
      <c r="AC108" t="s">
        <v>53</v>
      </c>
      <c r="AD108" s="36">
        <v>46268</v>
      </c>
      <c r="AE108" t="s">
        <v>93</v>
      </c>
      <c r="AF108" s="36">
        <v>46160</v>
      </c>
      <c r="AG108" t="s">
        <v>113</v>
      </c>
      <c r="AH108" s="43">
        <v>100</v>
      </c>
      <c r="AI108" s="43">
        <v>100</v>
      </c>
      <c r="AJ108" s="44">
        <v>50</v>
      </c>
      <c r="AK108" t="s">
        <v>697</v>
      </c>
      <c r="AM108" t="s">
        <v>697</v>
      </c>
      <c r="AN108" s="39" t="str">
        <f>VLOOKUP(M108,[1]municipios!$B:$D,3,0)</f>
        <v>PARANAIBA</v>
      </c>
      <c r="AO108" s="37">
        <f t="shared" ca="1" si="7"/>
        <v>306</v>
      </c>
      <c r="AP108" s="38" t="str">
        <f t="shared" ca="1" si="8"/>
        <v>&gt;50 dias</v>
      </c>
      <c r="AQ108" s="39" t="str">
        <f t="shared" ca="1" si="9"/>
        <v>Dentro</v>
      </c>
      <c r="AR108" s="39" t="str">
        <f t="shared" ca="1" si="10"/>
        <v>Não risco</v>
      </c>
      <c r="AS108" s="37" t="e">
        <f t="shared" si="11"/>
        <v>#VALUE!</v>
      </c>
      <c r="AT108" s="39">
        <f t="shared" ca="1" si="12"/>
        <v>128</v>
      </c>
      <c r="AU108" s="47" t="str">
        <f>VLOOKUP(X108,'pontos focais'!C:D,2,0)</f>
        <v>DEOP Qualidade</v>
      </c>
      <c r="AV108" s="41">
        <f t="shared" si="13"/>
        <v>-46160</v>
      </c>
    </row>
    <row r="109" spans="1:48" x14ac:dyDescent="0.25">
      <c r="A109" t="s">
        <v>822</v>
      </c>
      <c r="B109" t="s">
        <v>53</v>
      </c>
      <c r="C109" t="s">
        <v>34</v>
      </c>
      <c r="D109" t="s">
        <v>78</v>
      </c>
      <c r="E109" s="36">
        <v>45982</v>
      </c>
      <c r="F109" t="s">
        <v>44</v>
      </c>
      <c r="G109" t="s">
        <v>111</v>
      </c>
      <c r="H109" t="s">
        <v>111</v>
      </c>
      <c r="I109" t="s">
        <v>697</v>
      </c>
      <c r="J109" t="s">
        <v>697</v>
      </c>
      <c r="K109" t="s">
        <v>697</v>
      </c>
      <c r="L109" t="s">
        <v>64</v>
      </c>
      <c r="M109" t="s">
        <v>119</v>
      </c>
      <c r="N109" t="s">
        <v>14</v>
      </c>
      <c r="O109" t="s">
        <v>119</v>
      </c>
      <c r="P109" t="s">
        <v>496</v>
      </c>
      <c r="Q109" s="36">
        <v>46160</v>
      </c>
      <c r="R109" t="s">
        <v>497</v>
      </c>
      <c r="S109" s="36">
        <v>46252</v>
      </c>
      <c r="W109" s="36">
        <v>46252</v>
      </c>
      <c r="X109" t="s">
        <v>108</v>
      </c>
      <c r="Y109" t="s">
        <v>546</v>
      </c>
      <c r="AA109" t="s">
        <v>44</v>
      </c>
      <c r="AB109" t="s">
        <v>212</v>
      </c>
      <c r="AC109" t="s">
        <v>53</v>
      </c>
      <c r="AD109" s="36">
        <v>46252</v>
      </c>
      <c r="AE109" t="s">
        <v>214</v>
      </c>
      <c r="AF109" s="36">
        <v>46252</v>
      </c>
      <c r="AG109" t="s">
        <v>214</v>
      </c>
      <c r="AH109" s="43">
        <v>100</v>
      </c>
      <c r="AI109" s="43">
        <v>100</v>
      </c>
      <c r="AJ109" s="44">
        <v>100</v>
      </c>
      <c r="AK109" t="s">
        <v>697</v>
      </c>
      <c r="AM109" t="s">
        <v>697</v>
      </c>
      <c r="AN109" s="39" t="str">
        <f>VLOOKUP(M109,[1]municipios!$B:$D,3,0)</f>
        <v>CAMPO GRANDE INTERIOR</v>
      </c>
      <c r="AO109" s="37">
        <f t="shared" ca="1" si="7"/>
        <v>306</v>
      </c>
      <c r="AP109" s="38" t="str">
        <f t="shared" ca="1" si="8"/>
        <v>&gt;50 dias</v>
      </c>
      <c r="AQ109" s="39" t="str">
        <f t="shared" ca="1" si="9"/>
        <v>Dentro</v>
      </c>
      <c r="AR109" s="39" t="str">
        <f t="shared" ca="1" si="10"/>
        <v>Não risco</v>
      </c>
      <c r="AS109" s="37" t="e">
        <f t="shared" si="11"/>
        <v>#VALUE!</v>
      </c>
      <c r="AT109" s="39">
        <f t="shared" ca="1" si="12"/>
        <v>92</v>
      </c>
      <c r="AU109" s="47" t="str">
        <f>VLOOKUP(X109,'pontos focais'!C:D,2,0)</f>
        <v>DEOP Qualidade</v>
      </c>
      <c r="AV109" s="41">
        <f t="shared" si="13"/>
        <v>-46160</v>
      </c>
    </row>
    <row r="110" spans="1:48" x14ac:dyDescent="0.25">
      <c r="A110" t="s">
        <v>824</v>
      </c>
      <c r="B110" t="s">
        <v>53</v>
      </c>
      <c r="C110" t="s">
        <v>54</v>
      </c>
      <c r="D110" t="s">
        <v>35</v>
      </c>
      <c r="E110" s="36">
        <v>46164</v>
      </c>
      <c r="F110" t="s">
        <v>44</v>
      </c>
      <c r="G110" t="s">
        <v>111</v>
      </c>
      <c r="H110" t="s">
        <v>111</v>
      </c>
      <c r="I110" t="s">
        <v>697</v>
      </c>
      <c r="J110" t="s">
        <v>697</v>
      </c>
      <c r="K110" t="s">
        <v>697</v>
      </c>
      <c r="L110" t="s">
        <v>64</v>
      </c>
      <c r="M110" t="s">
        <v>65</v>
      </c>
      <c r="N110" t="s">
        <v>14</v>
      </c>
      <c r="O110" t="s">
        <v>65</v>
      </c>
      <c r="P110" t="s">
        <v>558</v>
      </c>
      <c r="Q110" s="36">
        <v>46164</v>
      </c>
      <c r="R110" t="s">
        <v>383</v>
      </c>
      <c r="S110" s="36">
        <v>46204</v>
      </c>
      <c r="T110" t="s">
        <v>384</v>
      </c>
      <c r="X110" t="s">
        <v>66</v>
      </c>
      <c r="Y110" t="s">
        <v>47</v>
      </c>
      <c r="AA110" t="s">
        <v>697</v>
      </c>
      <c r="AB110" t="s">
        <v>212</v>
      </c>
      <c r="AC110" t="s">
        <v>53</v>
      </c>
      <c r="AD110" s="36">
        <v>46268</v>
      </c>
      <c r="AE110" t="s">
        <v>93</v>
      </c>
      <c r="AF110" s="36">
        <v>46204</v>
      </c>
      <c r="AG110" t="s">
        <v>46</v>
      </c>
      <c r="AH110" s="43">
        <v>100</v>
      </c>
      <c r="AI110" s="43">
        <v>100</v>
      </c>
      <c r="AJ110" s="44">
        <v>100</v>
      </c>
      <c r="AK110" t="s">
        <v>697</v>
      </c>
      <c r="AM110" t="s">
        <v>697</v>
      </c>
      <c r="AN110" s="39" t="str">
        <f>VLOOKUP(M110,[1]municipios!$B:$D,3,0)</f>
        <v>CAMPO GRANDE</v>
      </c>
      <c r="AO110" s="37">
        <f t="shared" ca="1" si="7"/>
        <v>124</v>
      </c>
      <c r="AP110" s="38" t="str">
        <f t="shared" ca="1" si="8"/>
        <v>&gt;50 dias</v>
      </c>
      <c r="AQ110" s="39" t="str">
        <f t="shared" ca="1" si="9"/>
        <v>Dentro</v>
      </c>
      <c r="AR110" s="39" t="str">
        <f t="shared" ca="1" si="10"/>
        <v>Não risco</v>
      </c>
      <c r="AS110" s="37" t="e">
        <f t="shared" si="11"/>
        <v>#VALUE!</v>
      </c>
      <c r="AT110" s="39">
        <f t="shared" ca="1" si="12"/>
        <v>40</v>
      </c>
      <c r="AU110" s="47" t="str">
        <f>VLOOKUP(X110,'pontos focais'!C:D,2,0)</f>
        <v>DCMD Orçamento e Projetos</v>
      </c>
      <c r="AV110" s="41">
        <f t="shared" si="13"/>
        <v>-46164</v>
      </c>
    </row>
    <row r="111" spans="1:48" x14ac:dyDescent="0.25">
      <c r="A111" t="s">
        <v>824</v>
      </c>
      <c r="B111" t="s">
        <v>53</v>
      </c>
      <c r="C111" t="s">
        <v>54</v>
      </c>
      <c r="D111" t="s">
        <v>55</v>
      </c>
      <c r="E111" s="36">
        <v>46164</v>
      </c>
      <c r="F111" t="s">
        <v>44</v>
      </c>
      <c r="G111" t="s">
        <v>111</v>
      </c>
      <c r="H111" t="s">
        <v>111</v>
      </c>
      <c r="I111" t="s">
        <v>697</v>
      </c>
      <c r="J111" t="s">
        <v>697</v>
      </c>
      <c r="K111" t="s">
        <v>730</v>
      </c>
      <c r="L111" t="s">
        <v>64</v>
      </c>
      <c r="M111" t="s">
        <v>65</v>
      </c>
      <c r="N111" t="s">
        <v>14</v>
      </c>
      <c r="O111" t="s">
        <v>65</v>
      </c>
      <c r="P111" t="s">
        <v>558</v>
      </c>
      <c r="Q111" s="36">
        <v>46241</v>
      </c>
      <c r="R111" t="s">
        <v>498</v>
      </c>
      <c r="S111" s="36">
        <v>46246</v>
      </c>
      <c r="T111" t="s">
        <v>559</v>
      </c>
      <c r="W111" s="36">
        <v>46241</v>
      </c>
      <c r="X111" t="s">
        <v>49</v>
      </c>
      <c r="Y111" t="s">
        <v>546</v>
      </c>
      <c r="AA111" t="s">
        <v>697</v>
      </c>
      <c r="AB111" t="s">
        <v>212</v>
      </c>
      <c r="AC111" t="s">
        <v>53</v>
      </c>
      <c r="AD111" s="36">
        <v>46268</v>
      </c>
      <c r="AE111" t="s">
        <v>93</v>
      </c>
      <c r="AF111" s="36">
        <v>46246</v>
      </c>
      <c r="AG111" t="s">
        <v>214</v>
      </c>
      <c r="AH111" s="43">
        <v>100</v>
      </c>
      <c r="AI111" s="43">
        <v>100</v>
      </c>
      <c r="AJ111" s="44">
        <v>100</v>
      </c>
      <c r="AK111" t="s">
        <v>697</v>
      </c>
      <c r="AM111" t="s">
        <v>697</v>
      </c>
      <c r="AN111" s="39" t="str">
        <f>VLOOKUP(M111,[1]municipios!$B:$D,3,0)</f>
        <v>CAMPO GRANDE</v>
      </c>
      <c r="AO111" s="37">
        <f t="shared" ca="1" si="7"/>
        <v>124</v>
      </c>
      <c r="AP111" s="38" t="str">
        <f t="shared" ca="1" si="8"/>
        <v>&gt;50 dias</v>
      </c>
      <c r="AQ111" s="39" t="str">
        <f t="shared" ca="1" si="9"/>
        <v>Dentro</v>
      </c>
      <c r="AR111" s="39" t="str">
        <f t="shared" ca="1" si="10"/>
        <v>Não risco</v>
      </c>
      <c r="AS111" s="37" t="e">
        <f t="shared" si="11"/>
        <v>#VALUE!</v>
      </c>
      <c r="AT111" s="39">
        <f t="shared" ca="1" si="12"/>
        <v>5</v>
      </c>
      <c r="AU111" s="47" t="str">
        <f>VLOOKUP(X111,'pontos focais'!C:D,2,0)</f>
        <v>DESC Agentes de Relacionamento</v>
      </c>
      <c r="AV111" s="41">
        <f t="shared" si="13"/>
        <v>-46241</v>
      </c>
    </row>
    <row r="112" spans="1:48" x14ac:dyDescent="0.25">
      <c r="A112" t="s">
        <v>825</v>
      </c>
      <c r="B112" t="s">
        <v>53</v>
      </c>
      <c r="C112" t="s">
        <v>96</v>
      </c>
      <c r="D112" t="s">
        <v>35</v>
      </c>
      <c r="E112" s="36">
        <v>46080</v>
      </c>
      <c r="F112" t="s">
        <v>88</v>
      </c>
      <c r="G112" t="s">
        <v>37</v>
      </c>
      <c r="H112" t="s">
        <v>156</v>
      </c>
      <c r="I112" t="s">
        <v>228</v>
      </c>
      <c r="J112" t="s">
        <v>826</v>
      </c>
      <c r="K112" t="s">
        <v>697</v>
      </c>
      <c r="L112" t="s">
        <v>39</v>
      </c>
      <c r="M112" t="s">
        <v>52</v>
      </c>
      <c r="N112" t="s">
        <v>14</v>
      </c>
      <c r="O112" t="s">
        <v>52</v>
      </c>
      <c r="P112" t="s">
        <v>229</v>
      </c>
      <c r="Q112" s="36">
        <v>46273</v>
      </c>
      <c r="R112" t="s">
        <v>1080</v>
      </c>
      <c r="X112" t="s">
        <v>77</v>
      </c>
      <c r="Y112" t="s">
        <v>697</v>
      </c>
      <c r="Z112" t="s">
        <v>231</v>
      </c>
      <c r="AA112" t="s">
        <v>232</v>
      </c>
      <c r="AB112" t="s">
        <v>212</v>
      </c>
      <c r="AC112" t="s">
        <v>53</v>
      </c>
      <c r="AD112" s="36">
        <v>46273</v>
      </c>
      <c r="AE112" t="s">
        <v>71</v>
      </c>
      <c r="AF112" s="36">
        <v>46273</v>
      </c>
      <c r="AG112" t="s">
        <v>71</v>
      </c>
      <c r="AH112" s="43">
        <v>100</v>
      </c>
      <c r="AI112" s="43">
        <v>100</v>
      </c>
      <c r="AJ112" s="44">
        <v>50</v>
      </c>
      <c r="AK112" t="s">
        <v>658</v>
      </c>
      <c r="AM112" t="s">
        <v>659</v>
      </c>
      <c r="AN112" s="39" t="str">
        <f>VLOOKUP(M112,[1]municipios!$B:$D,3,0)</f>
        <v>NOVA ANDRADINA</v>
      </c>
      <c r="AO112" s="37">
        <f t="shared" ca="1" si="7"/>
        <v>208</v>
      </c>
      <c r="AP112" s="38" t="str">
        <f t="shared" ca="1" si="8"/>
        <v>&gt;50 dias</v>
      </c>
      <c r="AQ112" s="39" t="str">
        <f t="shared" ca="1" si="9"/>
        <v>Dentro</v>
      </c>
      <c r="AR112" s="39" t="str">
        <f t="shared" ca="1" si="10"/>
        <v>Não risco</v>
      </c>
      <c r="AS112" s="37" t="e">
        <f t="shared" si="11"/>
        <v>#VALUE!</v>
      </c>
      <c r="AT112" s="39">
        <f t="shared" ca="1" si="12"/>
        <v>15</v>
      </c>
      <c r="AU112" s="47" t="str">
        <f>VLOOKUP(X112,'pontos focais'!C:D,2,0)</f>
        <v>DCMD Manutenção</v>
      </c>
      <c r="AV112" s="41">
        <f t="shared" si="13"/>
        <v>-46273</v>
      </c>
    </row>
    <row r="113" spans="1:48" x14ac:dyDescent="0.25">
      <c r="A113" t="s">
        <v>825</v>
      </c>
      <c r="B113" t="s">
        <v>53</v>
      </c>
      <c r="C113" t="s">
        <v>34</v>
      </c>
      <c r="D113" t="s">
        <v>35</v>
      </c>
      <c r="E113" s="36">
        <v>46080</v>
      </c>
      <c r="F113" t="s">
        <v>88</v>
      </c>
      <c r="G113" t="s">
        <v>37</v>
      </c>
      <c r="H113" t="s">
        <v>156</v>
      </c>
      <c r="I113" t="s">
        <v>228</v>
      </c>
      <c r="J113" t="s">
        <v>826</v>
      </c>
      <c r="K113" t="s">
        <v>697</v>
      </c>
      <c r="L113" t="s">
        <v>39</v>
      </c>
      <c r="M113" t="s">
        <v>52</v>
      </c>
      <c r="N113" t="s">
        <v>14</v>
      </c>
      <c r="O113" t="s">
        <v>52</v>
      </c>
      <c r="P113" t="s">
        <v>229</v>
      </c>
      <c r="Q113" s="36">
        <v>46237</v>
      </c>
      <c r="R113" t="s">
        <v>873</v>
      </c>
      <c r="X113" t="s">
        <v>77</v>
      </c>
      <c r="Y113" t="s">
        <v>697</v>
      </c>
      <c r="Z113" t="s">
        <v>231</v>
      </c>
      <c r="AA113" t="s">
        <v>232</v>
      </c>
      <c r="AB113" t="s">
        <v>212</v>
      </c>
      <c r="AC113" t="s">
        <v>53</v>
      </c>
      <c r="AD113" s="36">
        <v>46266</v>
      </c>
      <c r="AE113" t="s">
        <v>93</v>
      </c>
      <c r="AF113" s="36">
        <v>46237</v>
      </c>
      <c r="AG113" t="s">
        <v>71</v>
      </c>
      <c r="AH113" s="43">
        <v>100</v>
      </c>
      <c r="AI113" s="43">
        <v>100</v>
      </c>
      <c r="AJ113" s="44">
        <v>50</v>
      </c>
      <c r="AK113" t="s">
        <v>697</v>
      </c>
      <c r="AM113" t="s">
        <v>697</v>
      </c>
      <c r="AN113" s="39" t="str">
        <f>VLOOKUP(M113,[1]municipios!$B:$D,3,0)</f>
        <v>NOVA ANDRADINA</v>
      </c>
      <c r="AO113" s="37">
        <f t="shared" ca="1" si="7"/>
        <v>208</v>
      </c>
      <c r="AP113" s="38" t="str">
        <f t="shared" ca="1" si="8"/>
        <v>&gt;50 dias</v>
      </c>
      <c r="AQ113" s="39" t="str">
        <f t="shared" ca="1" si="9"/>
        <v>Dentro</v>
      </c>
      <c r="AR113" s="39" t="str">
        <f t="shared" ca="1" si="10"/>
        <v>Não risco</v>
      </c>
      <c r="AS113" s="37" t="e">
        <f t="shared" si="11"/>
        <v>#VALUE!</v>
      </c>
      <c r="AT113" s="39">
        <f t="shared" ca="1" si="12"/>
        <v>51</v>
      </c>
      <c r="AU113" s="47" t="str">
        <f>VLOOKUP(X113,'pontos focais'!C:D,2,0)</f>
        <v>DCMD Manutenção</v>
      </c>
      <c r="AV113" s="41">
        <f t="shared" si="13"/>
        <v>-46237</v>
      </c>
    </row>
    <row r="114" spans="1:48" x14ac:dyDescent="0.25">
      <c r="A114" t="s">
        <v>825</v>
      </c>
      <c r="B114" t="s">
        <v>53</v>
      </c>
      <c r="C114" t="s">
        <v>34</v>
      </c>
      <c r="D114" t="s">
        <v>78</v>
      </c>
      <c r="E114" s="36">
        <v>46080</v>
      </c>
      <c r="F114" t="s">
        <v>88</v>
      </c>
      <c r="G114" t="s">
        <v>37</v>
      </c>
      <c r="H114" t="s">
        <v>111</v>
      </c>
      <c r="I114" t="s">
        <v>228</v>
      </c>
      <c r="J114" t="s">
        <v>826</v>
      </c>
      <c r="K114" t="s">
        <v>697</v>
      </c>
      <c r="L114" t="s">
        <v>39</v>
      </c>
      <c r="M114" t="s">
        <v>52</v>
      </c>
      <c r="N114" t="s">
        <v>14</v>
      </c>
      <c r="O114" t="s">
        <v>52</v>
      </c>
      <c r="P114" t="s">
        <v>229</v>
      </c>
      <c r="Q114" s="36">
        <v>46175</v>
      </c>
      <c r="R114" t="s">
        <v>229</v>
      </c>
      <c r="S114" s="36">
        <v>46191</v>
      </c>
      <c r="T114" t="s">
        <v>230</v>
      </c>
      <c r="X114" t="s">
        <v>81</v>
      </c>
      <c r="Y114" t="s">
        <v>117</v>
      </c>
      <c r="Z114" t="s">
        <v>231</v>
      </c>
      <c r="AA114" t="s">
        <v>232</v>
      </c>
      <c r="AB114" t="s">
        <v>212</v>
      </c>
      <c r="AC114" t="s">
        <v>53</v>
      </c>
      <c r="AD114" s="36">
        <v>46266</v>
      </c>
      <c r="AE114" t="s">
        <v>93</v>
      </c>
      <c r="AF114" s="36">
        <v>46191</v>
      </c>
      <c r="AG114" t="s">
        <v>81</v>
      </c>
      <c r="AH114" s="43">
        <v>100</v>
      </c>
      <c r="AI114" s="43">
        <v>100</v>
      </c>
      <c r="AJ114" s="44">
        <v>94</v>
      </c>
      <c r="AK114" t="s">
        <v>697</v>
      </c>
      <c r="AM114" t="s">
        <v>697</v>
      </c>
      <c r="AN114" s="39" t="str">
        <f>VLOOKUP(M114,[1]municipios!$B:$D,3,0)</f>
        <v>NOVA ANDRADINA</v>
      </c>
      <c r="AO114" s="37">
        <f t="shared" ca="1" si="7"/>
        <v>208</v>
      </c>
      <c r="AP114" s="38" t="str">
        <f t="shared" ca="1" si="8"/>
        <v>&gt;50 dias</v>
      </c>
      <c r="AQ114" s="39" t="str">
        <f t="shared" ca="1" si="9"/>
        <v>Dentro</v>
      </c>
      <c r="AR114" s="39" t="str">
        <f t="shared" ca="1" si="10"/>
        <v>Não risco</v>
      </c>
      <c r="AS114" s="37" t="e">
        <f t="shared" si="11"/>
        <v>#VALUE!</v>
      </c>
      <c r="AT114" s="39">
        <f t="shared" ca="1" si="12"/>
        <v>16</v>
      </c>
      <c r="AU114" s="47" t="str">
        <f>VLOOKUP(X114,'pontos focais'!C:D,2,0)</f>
        <v>DEOP Qualidade</v>
      </c>
      <c r="AV114" s="41">
        <f t="shared" si="13"/>
        <v>-46175</v>
      </c>
    </row>
    <row r="115" spans="1:48" x14ac:dyDescent="0.25">
      <c r="A115" t="s">
        <v>825</v>
      </c>
      <c r="B115" t="s">
        <v>53</v>
      </c>
      <c r="C115" t="s">
        <v>34</v>
      </c>
      <c r="D115" t="s">
        <v>103</v>
      </c>
      <c r="E115" s="36">
        <v>46080</v>
      </c>
      <c r="F115" t="s">
        <v>88</v>
      </c>
      <c r="G115" t="s">
        <v>37</v>
      </c>
      <c r="H115" t="s">
        <v>111</v>
      </c>
      <c r="I115" t="s">
        <v>697</v>
      </c>
      <c r="J115" t="s">
        <v>826</v>
      </c>
      <c r="K115" t="s">
        <v>697</v>
      </c>
      <c r="L115" t="s">
        <v>39</v>
      </c>
      <c r="M115" t="s">
        <v>52</v>
      </c>
      <c r="N115" t="s">
        <v>14</v>
      </c>
      <c r="O115" t="s">
        <v>52</v>
      </c>
      <c r="P115" t="s">
        <v>229</v>
      </c>
      <c r="Q115" s="36">
        <v>46237</v>
      </c>
      <c r="S115" s="36">
        <v>46262</v>
      </c>
      <c r="T115" t="s">
        <v>827</v>
      </c>
      <c r="W115" s="36">
        <v>46262</v>
      </c>
      <c r="X115" t="s">
        <v>103</v>
      </c>
      <c r="Y115" t="s">
        <v>70</v>
      </c>
      <c r="Z115" t="s">
        <v>231</v>
      </c>
      <c r="AA115" t="s">
        <v>232</v>
      </c>
      <c r="AB115" t="s">
        <v>212</v>
      </c>
      <c r="AC115" t="s">
        <v>53</v>
      </c>
      <c r="AD115" s="36">
        <v>46266</v>
      </c>
      <c r="AE115" t="s">
        <v>93</v>
      </c>
      <c r="AF115" s="36">
        <v>46262</v>
      </c>
      <c r="AG115" t="s">
        <v>71</v>
      </c>
      <c r="AH115" s="43">
        <v>100</v>
      </c>
      <c r="AI115" s="43">
        <v>100</v>
      </c>
      <c r="AJ115" s="44">
        <v>100</v>
      </c>
      <c r="AK115" t="s">
        <v>697</v>
      </c>
      <c r="AM115" t="s">
        <v>697</v>
      </c>
      <c r="AN115" s="39" t="str">
        <f>VLOOKUP(M115,[1]municipios!$B:$D,3,0)</f>
        <v>NOVA ANDRADINA</v>
      </c>
      <c r="AO115" s="37">
        <f t="shared" ca="1" si="7"/>
        <v>208</v>
      </c>
      <c r="AP115" s="38" t="str">
        <f t="shared" ca="1" si="8"/>
        <v>&gt;50 dias</v>
      </c>
      <c r="AQ115" s="39" t="str">
        <f t="shared" ca="1" si="9"/>
        <v>Dentro</v>
      </c>
      <c r="AR115" s="39" t="str">
        <f t="shared" ca="1" si="10"/>
        <v>Não risco</v>
      </c>
      <c r="AS115" s="37" t="e">
        <f t="shared" si="11"/>
        <v>#VALUE!</v>
      </c>
      <c r="AT115" s="39">
        <f t="shared" ca="1" si="12"/>
        <v>25</v>
      </c>
      <c r="AU115" s="47" t="str">
        <f>VLOOKUP(X115,'pontos focais'!C:D,2,0)</f>
        <v>Central do Cliente</v>
      </c>
      <c r="AV115" s="41">
        <f t="shared" si="13"/>
        <v>-46237</v>
      </c>
    </row>
    <row r="116" spans="1:48" x14ac:dyDescent="0.25">
      <c r="A116" t="s">
        <v>909</v>
      </c>
      <c r="B116" t="s">
        <v>53</v>
      </c>
      <c r="C116" t="s">
        <v>133</v>
      </c>
      <c r="D116" t="s">
        <v>55</v>
      </c>
      <c r="E116" s="36">
        <v>46078</v>
      </c>
      <c r="F116" t="s">
        <v>88</v>
      </c>
      <c r="G116" t="s">
        <v>111</v>
      </c>
      <c r="H116" t="s">
        <v>111</v>
      </c>
      <c r="I116" t="s">
        <v>385</v>
      </c>
      <c r="J116" t="s">
        <v>910</v>
      </c>
      <c r="K116" t="s">
        <v>697</v>
      </c>
      <c r="L116" t="s">
        <v>697</v>
      </c>
      <c r="M116" t="s">
        <v>697</v>
      </c>
      <c r="N116" t="s">
        <v>14</v>
      </c>
      <c r="O116" t="s">
        <v>697</v>
      </c>
      <c r="P116" t="s">
        <v>386</v>
      </c>
      <c r="Q116" s="36">
        <v>46175</v>
      </c>
      <c r="R116" t="s">
        <v>386</v>
      </c>
      <c r="X116" t="s">
        <v>88</v>
      </c>
      <c r="Y116" t="s">
        <v>697</v>
      </c>
      <c r="Z116" t="s">
        <v>387</v>
      </c>
      <c r="AA116" t="s">
        <v>232</v>
      </c>
      <c r="AB116" t="s">
        <v>212</v>
      </c>
      <c r="AC116" t="s">
        <v>53</v>
      </c>
      <c r="AD116" s="36">
        <v>46249</v>
      </c>
      <c r="AE116" t="s">
        <v>93</v>
      </c>
      <c r="AF116" s="36">
        <v>46175</v>
      </c>
      <c r="AG116" t="s">
        <v>113</v>
      </c>
      <c r="AH116" s="43">
        <v>100</v>
      </c>
      <c r="AI116" s="43">
        <v>100</v>
      </c>
      <c r="AJ116" s="44">
        <v>50</v>
      </c>
      <c r="AK116" t="s">
        <v>697</v>
      </c>
      <c r="AM116" t="s">
        <v>697</v>
      </c>
      <c r="AN116" s="39" t="e">
        <f>VLOOKUP(M116,[1]municipios!$B:$D,3,0)</f>
        <v>#N/A</v>
      </c>
      <c r="AO116" s="37">
        <f t="shared" ca="1" si="7"/>
        <v>210</v>
      </c>
      <c r="AP116" s="38" t="str">
        <f t="shared" ca="1" si="8"/>
        <v>&gt;50 dias</v>
      </c>
      <c r="AQ116" s="39" t="str">
        <f t="shared" ca="1" si="9"/>
        <v>Dentro</v>
      </c>
      <c r="AR116" s="39" t="str">
        <f t="shared" ca="1" si="10"/>
        <v>Não risco</v>
      </c>
      <c r="AS116" s="37" t="e">
        <f t="shared" si="11"/>
        <v>#VALUE!</v>
      </c>
      <c r="AT116" s="39">
        <f t="shared" ca="1" si="12"/>
        <v>113</v>
      </c>
      <c r="AU116" s="47" t="str">
        <f>VLOOKUP(X116,'pontos focais'!C:D,2,0)</f>
        <v>DESC Agentes de Relacionamento</v>
      </c>
      <c r="AV116" s="41">
        <f t="shared" si="13"/>
        <v>-46175</v>
      </c>
    </row>
    <row r="117" spans="1:48" x14ac:dyDescent="0.25">
      <c r="A117" t="s">
        <v>828</v>
      </c>
      <c r="B117" t="s">
        <v>53</v>
      </c>
      <c r="C117" t="s">
        <v>34</v>
      </c>
      <c r="D117" t="s">
        <v>35</v>
      </c>
      <c r="E117" s="36">
        <v>45994</v>
      </c>
      <c r="F117" t="s">
        <v>67</v>
      </c>
      <c r="G117" t="s">
        <v>111</v>
      </c>
      <c r="H117" t="s">
        <v>111</v>
      </c>
      <c r="I117" t="s">
        <v>697</v>
      </c>
      <c r="J117" t="s">
        <v>697</v>
      </c>
      <c r="K117" t="s">
        <v>697</v>
      </c>
      <c r="L117" t="s">
        <v>39</v>
      </c>
      <c r="M117" t="s">
        <v>45</v>
      </c>
      <c r="N117" t="s">
        <v>68</v>
      </c>
      <c r="O117" t="s">
        <v>45</v>
      </c>
      <c r="P117" t="s">
        <v>290</v>
      </c>
      <c r="Q117" s="36">
        <v>46178</v>
      </c>
      <c r="R117" t="s">
        <v>290</v>
      </c>
      <c r="S117" s="36">
        <v>46252</v>
      </c>
      <c r="T117" t="s">
        <v>672</v>
      </c>
      <c r="X117" t="s">
        <v>41</v>
      </c>
      <c r="Y117" t="s">
        <v>546</v>
      </c>
      <c r="AA117" t="s">
        <v>67</v>
      </c>
      <c r="AB117" t="s">
        <v>212</v>
      </c>
      <c r="AC117" t="s">
        <v>53</v>
      </c>
      <c r="AD117" s="36">
        <v>46252</v>
      </c>
      <c r="AE117" t="s">
        <v>214</v>
      </c>
      <c r="AF117" s="36">
        <v>46252</v>
      </c>
      <c r="AG117" t="s">
        <v>214</v>
      </c>
      <c r="AH117" s="43">
        <v>25</v>
      </c>
      <c r="AI117" s="43">
        <v>25</v>
      </c>
      <c r="AJ117" s="44">
        <v>25</v>
      </c>
      <c r="AK117" t="s">
        <v>697</v>
      </c>
      <c r="AM117" t="s">
        <v>697</v>
      </c>
      <c r="AN117" s="39" t="str">
        <f>VLOOKUP(M117,[1]municipios!$B:$D,3,0)</f>
        <v>DOURADOS</v>
      </c>
      <c r="AO117" s="37">
        <f t="shared" ca="1" si="7"/>
        <v>294</v>
      </c>
      <c r="AP117" s="38" t="str">
        <f t="shared" ca="1" si="8"/>
        <v>&gt;50 dias</v>
      </c>
      <c r="AQ117" s="39" t="str">
        <f t="shared" ca="1" si="9"/>
        <v>Dentro</v>
      </c>
      <c r="AR117" s="39" t="str">
        <f t="shared" ca="1" si="10"/>
        <v>Não risco</v>
      </c>
      <c r="AS117" s="37" t="e">
        <f t="shared" si="11"/>
        <v>#VALUE!</v>
      </c>
      <c r="AT117" s="39">
        <f t="shared" ca="1" si="12"/>
        <v>74</v>
      </c>
      <c r="AU117" s="47" t="str">
        <f>VLOOKUP(X117,'pontos focais'!C:D,2,0)</f>
        <v>DCMD Manutenção</v>
      </c>
      <c r="AV117" s="41">
        <f t="shared" si="13"/>
        <v>-46178</v>
      </c>
    </row>
    <row r="118" spans="1:48" x14ac:dyDescent="0.25">
      <c r="A118" t="s">
        <v>829</v>
      </c>
      <c r="B118" t="s">
        <v>53</v>
      </c>
      <c r="C118" t="s">
        <v>34</v>
      </c>
      <c r="D118" t="s">
        <v>35</v>
      </c>
      <c r="E118" s="36">
        <v>45980</v>
      </c>
      <c r="F118" t="s">
        <v>44</v>
      </c>
      <c r="G118" t="s">
        <v>111</v>
      </c>
      <c r="H118" t="s">
        <v>111</v>
      </c>
      <c r="I118" t="s">
        <v>697</v>
      </c>
      <c r="J118" t="s">
        <v>697</v>
      </c>
      <c r="K118" t="s">
        <v>697</v>
      </c>
      <c r="L118" t="s">
        <v>64</v>
      </c>
      <c r="M118" t="s">
        <v>119</v>
      </c>
      <c r="N118" t="s">
        <v>68</v>
      </c>
      <c r="O118" t="s">
        <v>119</v>
      </c>
      <c r="P118" t="s">
        <v>291</v>
      </c>
      <c r="Q118" s="36">
        <v>46178</v>
      </c>
      <c r="R118" t="s">
        <v>292</v>
      </c>
      <c r="S118" s="36">
        <v>46252</v>
      </c>
      <c r="X118" t="s">
        <v>41</v>
      </c>
      <c r="Y118" t="s">
        <v>546</v>
      </c>
      <c r="AA118" t="s">
        <v>44</v>
      </c>
      <c r="AB118" t="s">
        <v>212</v>
      </c>
      <c r="AC118" t="s">
        <v>53</v>
      </c>
      <c r="AD118" s="36">
        <v>46252</v>
      </c>
      <c r="AE118" t="s">
        <v>214</v>
      </c>
      <c r="AF118" s="36">
        <v>46252</v>
      </c>
      <c r="AG118" t="s">
        <v>214</v>
      </c>
      <c r="AH118" s="43">
        <v>25</v>
      </c>
      <c r="AI118" s="43">
        <v>25</v>
      </c>
      <c r="AJ118" s="44">
        <v>25</v>
      </c>
      <c r="AK118" t="s">
        <v>697</v>
      </c>
      <c r="AM118" t="s">
        <v>697</v>
      </c>
      <c r="AN118" s="39" t="str">
        <f>VLOOKUP(M118,[1]municipios!$B:$D,3,0)</f>
        <v>CAMPO GRANDE INTERIOR</v>
      </c>
      <c r="AO118" s="37">
        <f t="shared" ca="1" si="7"/>
        <v>308</v>
      </c>
      <c r="AP118" s="38" t="str">
        <f t="shared" ca="1" si="8"/>
        <v>&gt;50 dias</v>
      </c>
      <c r="AQ118" s="39" t="str">
        <f t="shared" ca="1" si="9"/>
        <v>Dentro</v>
      </c>
      <c r="AR118" s="39" t="str">
        <f t="shared" ca="1" si="10"/>
        <v>Não risco</v>
      </c>
      <c r="AS118" s="37" t="e">
        <f t="shared" si="11"/>
        <v>#VALUE!</v>
      </c>
      <c r="AT118" s="39">
        <f t="shared" ca="1" si="12"/>
        <v>74</v>
      </c>
      <c r="AU118" s="47" t="str">
        <f>VLOOKUP(X118,'pontos focais'!C:D,2,0)</f>
        <v>DCMD Manutenção</v>
      </c>
      <c r="AV118" s="41">
        <f t="shared" si="13"/>
        <v>-46178</v>
      </c>
    </row>
    <row r="119" spans="1:48" x14ac:dyDescent="0.25">
      <c r="A119" t="s">
        <v>830</v>
      </c>
      <c r="B119" t="s">
        <v>53</v>
      </c>
      <c r="C119" t="s">
        <v>54</v>
      </c>
      <c r="D119" t="s">
        <v>55</v>
      </c>
      <c r="E119" s="36">
        <v>46135</v>
      </c>
      <c r="F119" t="s">
        <v>114</v>
      </c>
      <c r="G119" t="s">
        <v>111</v>
      </c>
      <c r="H119" t="s">
        <v>37</v>
      </c>
      <c r="I119" t="s">
        <v>1017</v>
      </c>
      <c r="J119" t="s">
        <v>831</v>
      </c>
      <c r="K119" t="s">
        <v>697</v>
      </c>
      <c r="L119" t="s">
        <v>39</v>
      </c>
      <c r="M119" t="s">
        <v>160</v>
      </c>
      <c r="N119" t="s">
        <v>68</v>
      </c>
      <c r="O119" t="s">
        <v>160</v>
      </c>
      <c r="P119" t="s">
        <v>407</v>
      </c>
      <c r="Q119" s="36">
        <v>46154</v>
      </c>
      <c r="R119" t="s">
        <v>1018</v>
      </c>
      <c r="S119" s="36">
        <v>46185</v>
      </c>
      <c r="X119" t="s">
        <v>75</v>
      </c>
      <c r="Y119" t="s">
        <v>219</v>
      </c>
      <c r="Z119" t="s">
        <v>408</v>
      </c>
      <c r="AA119" t="s">
        <v>88</v>
      </c>
      <c r="AB119" t="s">
        <v>212</v>
      </c>
      <c r="AC119" t="s">
        <v>53</v>
      </c>
      <c r="AD119" s="36">
        <v>46268</v>
      </c>
      <c r="AE119" t="s">
        <v>93</v>
      </c>
      <c r="AF119" s="36">
        <v>46185</v>
      </c>
      <c r="AG119" t="s">
        <v>114</v>
      </c>
      <c r="AH119" s="43">
        <v>25</v>
      </c>
      <c r="AI119" s="43">
        <v>25</v>
      </c>
      <c r="AJ119" s="44">
        <v>12.5</v>
      </c>
      <c r="AK119" t="s">
        <v>697</v>
      </c>
      <c r="AM119" t="s">
        <v>697</v>
      </c>
      <c r="AN119" s="39" t="str">
        <f>VLOOKUP(M119,[1]municipios!$B:$D,3,0)</f>
        <v>PONTA PORA</v>
      </c>
      <c r="AO119" s="37">
        <f t="shared" ca="1" si="7"/>
        <v>153</v>
      </c>
      <c r="AP119" s="38" t="str">
        <f t="shared" ca="1" si="8"/>
        <v>&gt;50 dias</v>
      </c>
      <c r="AQ119" s="39" t="str">
        <f t="shared" ca="1" si="9"/>
        <v>Dentro</v>
      </c>
      <c r="AR119" s="39" t="str">
        <f t="shared" ca="1" si="10"/>
        <v>Não risco</v>
      </c>
      <c r="AS119" s="37" t="e">
        <f t="shared" si="11"/>
        <v>#VALUE!</v>
      </c>
      <c r="AT119" s="39">
        <f t="shared" ca="1" si="12"/>
        <v>31</v>
      </c>
      <c r="AU119" s="47" t="str">
        <f>VLOOKUP(X119,'pontos focais'!C:D,2,0)</f>
        <v>DESC Ofícios</v>
      </c>
      <c r="AV119" s="41">
        <f t="shared" si="13"/>
        <v>-46154</v>
      </c>
    </row>
    <row r="120" spans="1:48" x14ac:dyDescent="0.25">
      <c r="A120" t="s">
        <v>931</v>
      </c>
      <c r="B120" t="s">
        <v>53</v>
      </c>
      <c r="C120" t="s">
        <v>43</v>
      </c>
      <c r="D120" t="s">
        <v>35</v>
      </c>
      <c r="E120" s="36">
        <v>46184</v>
      </c>
      <c r="F120" t="s">
        <v>88</v>
      </c>
      <c r="G120" t="s">
        <v>111</v>
      </c>
      <c r="H120" t="s">
        <v>37</v>
      </c>
      <c r="I120" t="s">
        <v>697</v>
      </c>
      <c r="J120" t="s">
        <v>697</v>
      </c>
      <c r="K120" t="s">
        <v>874</v>
      </c>
      <c r="L120" t="s">
        <v>64</v>
      </c>
      <c r="M120" t="s">
        <v>85</v>
      </c>
      <c r="N120" t="s">
        <v>14</v>
      </c>
      <c r="O120" t="s">
        <v>85</v>
      </c>
      <c r="P120" t="s">
        <v>1022</v>
      </c>
      <c r="Q120" s="36">
        <v>46189</v>
      </c>
      <c r="R120" t="s">
        <v>691</v>
      </c>
      <c r="S120" s="36">
        <v>46274</v>
      </c>
      <c r="U120" s="36">
        <v>46203</v>
      </c>
      <c r="V120" s="36">
        <v>46280</v>
      </c>
      <c r="X120" t="s">
        <v>72</v>
      </c>
      <c r="Y120" t="s">
        <v>94</v>
      </c>
      <c r="Z120" t="s">
        <v>302</v>
      </c>
      <c r="AA120" t="s">
        <v>88</v>
      </c>
      <c r="AB120" t="s">
        <v>212</v>
      </c>
      <c r="AC120" t="s">
        <v>53</v>
      </c>
      <c r="AD120" s="36">
        <v>46274</v>
      </c>
      <c r="AE120" t="s">
        <v>72</v>
      </c>
      <c r="AF120" s="36">
        <v>46274</v>
      </c>
      <c r="AG120" t="s">
        <v>72</v>
      </c>
      <c r="AH120" s="43">
        <v>100</v>
      </c>
      <c r="AI120" s="43">
        <v>100</v>
      </c>
      <c r="AJ120" s="44">
        <v>100</v>
      </c>
      <c r="AK120" t="s">
        <v>697</v>
      </c>
      <c r="AM120" t="s">
        <v>697</v>
      </c>
      <c r="AN120" s="39" t="str">
        <f>VLOOKUP(M120,[1]municipios!$B:$D,3,0)</f>
        <v>CAMPO GRANDE INTERIOR</v>
      </c>
      <c r="AO120" s="37">
        <f t="shared" ca="1" si="7"/>
        <v>104</v>
      </c>
      <c r="AP120" s="38" t="str">
        <f t="shared" ca="1" si="8"/>
        <v>&gt;50 dias</v>
      </c>
      <c r="AQ120" s="39" t="str">
        <f t="shared" ca="1" si="9"/>
        <v>Fora</v>
      </c>
      <c r="AR120" s="39" t="str">
        <f t="shared" ca="1" si="10"/>
        <v>Não risco</v>
      </c>
      <c r="AS120" s="37" t="e">
        <f t="shared" si="11"/>
        <v>#VALUE!</v>
      </c>
      <c r="AT120" s="39">
        <f t="shared" ca="1" si="12"/>
        <v>85</v>
      </c>
      <c r="AU120" s="47" t="str">
        <f>VLOOKUP(X120,'pontos focais'!C:D,2,0)</f>
        <v>DCMD Programação de Obra</v>
      </c>
      <c r="AV120" s="41">
        <f t="shared" si="13"/>
        <v>14</v>
      </c>
    </row>
    <row r="121" spans="1:48" x14ac:dyDescent="0.25">
      <c r="A121" t="s">
        <v>797</v>
      </c>
      <c r="B121" t="s">
        <v>53</v>
      </c>
      <c r="C121" t="s">
        <v>133</v>
      </c>
      <c r="D121" t="s">
        <v>55</v>
      </c>
      <c r="E121" s="36">
        <v>46184</v>
      </c>
      <c r="F121" t="s">
        <v>67</v>
      </c>
      <c r="G121" t="s">
        <v>111</v>
      </c>
      <c r="H121" t="s">
        <v>38</v>
      </c>
      <c r="I121" t="s">
        <v>14</v>
      </c>
      <c r="J121" t="s">
        <v>697</v>
      </c>
      <c r="K121" t="s">
        <v>697</v>
      </c>
      <c r="L121" t="s">
        <v>64</v>
      </c>
      <c r="M121" t="s">
        <v>107</v>
      </c>
      <c r="N121" t="s">
        <v>14</v>
      </c>
      <c r="O121" t="s">
        <v>107</v>
      </c>
      <c r="P121" t="s">
        <v>553</v>
      </c>
      <c r="Q121" s="36">
        <v>46189</v>
      </c>
      <c r="R121" t="s">
        <v>269</v>
      </c>
      <c r="X121" t="s">
        <v>67</v>
      </c>
      <c r="Y121" t="s">
        <v>697</v>
      </c>
      <c r="Z121" t="s">
        <v>270</v>
      </c>
      <c r="AA121" t="s">
        <v>67</v>
      </c>
      <c r="AB121" t="s">
        <v>212</v>
      </c>
      <c r="AC121" t="s">
        <v>53</v>
      </c>
      <c r="AD121" s="36">
        <v>46268</v>
      </c>
      <c r="AE121" t="s">
        <v>93</v>
      </c>
      <c r="AF121" s="36">
        <v>46189</v>
      </c>
      <c r="AG121" t="s">
        <v>113</v>
      </c>
      <c r="AH121" s="43">
        <v>100</v>
      </c>
      <c r="AI121" s="43">
        <v>100</v>
      </c>
      <c r="AJ121" s="44">
        <v>50</v>
      </c>
      <c r="AK121" t="s">
        <v>697</v>
      </c>
      <c r="AM121" t="s">
        <v>697</v>
      </c>
      <c r="AN121" s="39" t="str">
        <f>VLOOKUP(M121,[1]municipios!$B:$D,3,0)</f>
        <v>CAMPO GRANDE INTERIOR</v>
      </c>
      <c r="AO121" s="37">
        <f t="shared" ca="1" si="7"/>
        <v>104</v>
      </c>
      <c r="AP121" s="38" t="str">
        <f t="shared" ca="1" si="8"/>
        <v>&gt;50 dias</v>
      </c>
      <c r="AQ121" s="39" t="str">
        <f t="shared" ca="1" si="9"/>
        <v>Dentro</v>
      </c>
      <c r="AR121" s="39" t="str">
        <f t="shared" ca="1" si="10"/>
        <v>Não risco</v>
      </c>
      <c r="AS121" s="37" t="e">
        <f t="shared" si="11"/>
        <v>#VALUE!</v>
      </c>
      <c r="AT121" s="39">
        <f t="shared" ca="1" si="12"/>
        <v>99</v>
      </c>
      <c r="AU121" s="47" t="str">
        <f>VLOOKUP(X121,'pontos focais'!C:D,2,0)</f>
        <v>Institucional</v>
      </c>
      <c r="AV121" s="41">
        <f t="shared" si="13"/>
        <v>-46189</v>
      </c>
    </row>
    <row r="122" spans="1:48" x14ac:dyDescent="0.25">
      <c r="A122" t="s">
        <v>797</v>
      </c>
      <c r="B122" t="s">
        <v>53</v>
      </c>
      <c r="C122" t="s">
        <v>43</v>
      </c>
      <c r="D122" t="s">
        <v>55</v>
      </c>
      <c r="E122" s="36">
        <v>46184</v>
      </c>
      <c r="F122" t="s">
        <v>67</v>
      </c>
      <c r="G122" t="s">
        <v>111</v>
      </c>
      <c r="H122" t="s">
        <v>111</v>
      </c>
      <c r="I122" t="s">
        <v>697</v>
      </c>
      <c r="J122" t="s">
        <v>697</v>
      </c>
      <c r="K122" t="s">
        <v>697</v>
      </c>
      <c r="L122" t="s">
        <v>64</v>
      </c>
      <c r="M122" t="s">
        <v>107</v>
      </c>
      <c r="N122" t="s">
        <v>14</v>
      </c>
      <c r="O122" t="s">
        <v>107</v>
      </c>
      <c r="P122" t="s">
        <v>553</v>
      </c>
      <c r="Q122" s="36">
        <v>46198</v>
      </c>
      <c r="R122" t="s">
        <v>502</v>
      </c>
      <c r="S122" s="36">
        <v>46246</v>
      </c>
      <c r="T122" t="s">
        <v>560</v>
      </c>
      <c r="U122" s="36">
        <v>46230</v>
      </c>
      <c r="W122" s="36">
        <v>46246</v>
      </c>
      <c r="X122" t="s">
        <v>67</v>
      </c>
      <c r="Y122" t="s">
        <v>70</v>
      </c>
      <c r="Z122" t="s">
        <v>270</v>
      </c>
      <c r="AA122" t="s">
        <v>67</v>
      </c>
      <c r="AB122" t="s">
        <v>212</v>
      </c>
      <c r="AC122" t="s">
        <v>53</v>
      </c>
      <c r="AD122" s="36">
        <v>46268</v>
      </c>
      <c r="AE122" t="s">
        <v>93</v>
      </c>
      <c r="AF122" s="36">
        <v>46246</v>
      </c>
      <c r="AG122" t="s">
        <v>71</v>
      </c>
      <c r="AH122" s="43">
        <v>100</v>
      </c>
      <c r="AI122" s="43">
        <v>100</v>
      </c>
      <c r="AJ122" s="44">
        <v>100</v>
      </c>
      <c r="AK122" t="s">
        <v>697</v>
      </c>
      <c r="AM122" t="s">
        <v>697</v>
      </c>
      <c r="AN122" s="39" t="str">
        <f>VLOOKUP(M122,[1]municipios!$B:$D,3,0)</f>
        <v>CAMPO GRANDE INTERIOR</v>
      </c>
      <c r="AO122" s="37">
        <f t="shared" ca="1" si="7"/>
        <v>104</v>
      </c>
      <c r="AP122" s="38" t="str">
        <f t="shared" ca="1" si="8"/>
        <v>&gt;50 dias</v>
      </c>
      <c r="AQ122" s="39" t="str">
        <f t="shared" ca="1" si="9"/>
        <v>Fora</v>
      </c>
      <c r="AR122" s="39" t="str">
        <f t="shared" ca="1" si="10"/>
        <v>Não risco</v>
      </c>
      <c r="AS122" s="37" t="e">
        <f t="shared" si="11"/>
        <v>#VALUE!</v>
      </c>
      <c r="AT122" s="39">
        <f t="shared" ca="1" si="12"/>
        <v>48</v>
      </c>
      <c r="AU122" s="47" t="str">
        <f>VLOOKUP(X122,'pontos focais'!C:D,2,0)</f>
        <v>Institucional</v>
      </c>
      <c r="AV122" s="41">
        <f t="shared" si="13"/>
        <v>32</v>
      </c>
    </row>
    <row r="123" spans="1:48" x14ac:dyDescent="0.25">
      <c r="A123" t="s">
        <v>832</v>
      </c>
      <c r="B123" t="s">
        <v>53</v>
      </c>
      <c r="C123" t="s">
        <v>133</v>
      </c>
      <c r="D123" t="s">
        <v>118</v>
      </c>
      <c r="E123" s="36">
        <v>46189</v>
      </c>
      <c r="F123" t="s">
        <v>44</v>
      </c>
      <c r="G123" t="s">
        <v>111</v>
      </c>
      <c r="H123" t="s">
        <v>111</v>
      </c>
      <c r="I123" t="s">
        <v>697</v>
      </c>
      <c r="J123" t="s">
        <v>697</v>
      </c>
      <c r="K123" t="s">
        <v>823</v>
      </c>
      <c r="L123" t="s">
        <v>39</v>
      </c>
      <c r="M123" t="s">
        <v>213</v>
      </c>
      <c r="N123" t="s">
        <v>68</v>
      </c>
      <c r="O123" t="s">
        <v>213</v>
      </c>
      <c r="P123" t="s">
        <v>236</v>
      </c>
      <c r="Q123" s="36">
        <v>46241</v>
      </c>
      <c r="R123" t="s">
        <v>237</v>
      </c>
      <c r="S123" s="36">
        <v>46241</v>
      </c>
      <c r="W123" s="36">
        <v>46241</v>
      </c>
      <c r="X123" t="s">
        <v>71</v>
      </c>
      <c r="Y123" t="s">
        <v>70</v>
      </c>
      <c r="Z123" t="s">
        <v>238</v>
      </c>
      <c r="AA123" t="s">
        <v>697</v>
      </c>
      <c r="AB123" t="s">
        <v>212</v>
      </c>
      <c r="AC123" t="s">
        <v>51</v>
      </c>
      <c r="AD123" s="36">
        <v>46268</v>
      </c>
      <c r="AE123" t="s">
        <v>93</v>
      </c>
      <c r="AF123" s="36">
        <v>46241</v>
      </c>
      <c r="AG123" t="s">
        <v>71</v>
      </c>
      <c r="AH123" s="43">
        <v>25</v>
      </c>
      <c r="AI123" s="43">
        <v>25</v>
      </c>
      <c r="AJ123" s="44">
        <v>25</v>
      </c>
      <c r="AK123" t="s">
        <v>697</v>
      </c>
      <c r="AM123" t="s">
        <v>697</v>
      </c>
      <c r="AN123" s="39" t="str">
        <f>VLOOKUP(M123,[1]municipios!$B:$D,3,0)</f>
        <v>RIO BRILHANTE</v>
      </c>
      <c r="AO123" s="37">
        <f t="shared" ca="1" si="7"/>
        <v>99</v>
      </c>
      <c r="AP123" s="38" t="str">
        <f t="shared" ca="1" si="8"/>
        <v>&gt;50 dias</v>
      </c>
      <c r="AQ123" s="39" t="str">
        <f t="shared" ca="1" si="9"/>
        <v>Dentro</v>
      </c>
      <c r="AR123" s="39" t="str">
        <f t="shared" ca="1" si="10"/>
        <v>Não risco</v>
      </c>
      <c r="AS123" s="37" t="e">
        <f t="shared" si="11"/>
        <v>#VALUE!</v>
      </c>
      <c r="AT123" s="39">
        <f t="shared" ca="1" si="12"/>
        <v>0</v>
      </c>
      <c r="AU123" s="47" t="str">
        <f>VLOOKUP(X123,'pontos focais'!C:D,2,0)</f>
        <v>Central do Cliente</v>
      </c>
      <c r="AV123" s="41">
        <f t="shared" si="13"/>
        <v>-46241</v>
      </c>
    </row>
    <row r="124" spans="1:48" x14ac:dyDescent="0.25">
      <c r="A124" t="s">
        <v>832</v>
      </c>
      <c r="B124" t="s">
        <v>53</v>
      </c>
      <c r="C124" t="s">
        <v>43</v>
      </c>
      <c r="D124" t="s">
        <v>35</v>
      </c>
      <c r="E124" s="36">
        <v>46189</v>
      </c>
      <c r="F124" t="s">
        <v>44</v>
      </c>
      <c r="G124" t="s">
        <v>111</v>
      </c>
      <c r="H124" t="s">
        <v>111</v>
      </c>
      <c r="I124" t="s">
        <v>697</v>
      </c>
      <c r="J124" t="s">
        <v>697</v>
      </c>
      <c r="K124" t="s">
        <v>697</v>
      </c>
      <c r="L124" t="s">
        <v>39</v>
      </c>
      <c r="M124" t="s">
        <v>213</v>
      </c>
      <c r="N124" t="s">
        <v>68</v>
      </c>
      <c r="O124" t="s">
        <v>213</v>
      </c>
      <c r="P124" t="s">
        <v>236</v>
      </c>
      <c r="Q124" s="36">
        <v>46192</v>
      </c>
      <c r="R124" t="s">
        <v>239</v>
      </c>
      <c r="S124" s="36">
        <v>46227</v>
      </c>
      <c r="U124" s="36">
        <v>46499</v>
      </c>
      <c r="V124" s="36">
        <v>46203</v>
      </c>
      <c r="W124" s="36">
        <v>46203</v>
      </c>
      <c r="X124" t="s">
        <v>69</v>
      </c>
      <c r="Y124" t="s">
        <v>82</v>
      </c>
      <c r="Z124" t="s">
        <v>238</v>
      </c>
      <c r="AA124" t="s">
        <v>697</v>
      </c>
      <c r="AB124" t="s">
        <v>212</v>
      </c>
      <c r="AC124" t="s">
        <v>53</v>
      </c>
      <c r="AD124" s="36">
        <v>46268</v>
      </c>
      <c r="AE124" t="s">
        <v>93</v>
      </c>
      <c r="AF124" s="36">
        <v>46227</v>
      </c>
      <c r="AG124" t="s">
        <v>83</v>
      </c>
      <c r="AH124" s="43">
        <v>25</v>
      </c>
      <c r="AI124" s="43">
        <v>25</v>
      </c>
      <c r="AJ124" s="44">
        <v>25</v>
      </c>
      <c r="AK124" t="s">
        <v>697</v>
      </c>
      <c r="AM124" t="s">
        <v>697</v>
      </c>
      <c r="AN124" s="39" t="str">
        <f>VLOOKUP(M124,[1]municipios!$B:$D,3,0)</f>
        <v>RIO BRILHANTE</v>
      </c>
      <c r="AO124" s="37">
        <f t="shared" ca="1" si="7"/>
        <v>99</v>
      </c>
      <c r="AP124" s="38" t="str">
        <f t="shared" ca="1" si="8"/>
        <v>&gt;50 dias</v>
      </c>
      <c r="AQ124" s="39" t="str">
        <f t="shared" ca="1" si="9"/>
        <v>Dentro</v>
      </c>
      <c r="AR124" s="39" t="str">
        <f t="shared" ca="1" si="10"/>
        <v>Risco</v>
      </c>
      <c r="AS124" s="37" t="e">
        <f t="shared" si="11"/>
        <v>#VALUE!</v>
      </c>
      <c r="AT124" s="39">
        <f t="shared" ca="1" si="12"/>
        <v>35</v>
      </c>
      <c r="AU124" s="47" t="str">
        <f>VLOOKUP(X124,'pontos focais'!C:D,2,0)</f>
        <v>DCMD Programação de Obra</v>
      </c>
      <c r="AV124" s="41">
        <f t="shared" si="13"/>
        <v>307</v>
      </c>
    </row>
    <row r="125" spans="1:48" x14ac:dyDescent="0.25">
      <c r="A125" t="s">
        <v>833</v>
      </c>
      <c r="B125" t="s">
        <v>53</v>
      </c>
      <c r="C125" t="s">
        <v>54</v>
      </c>
      <c r="D125" t="s">
        <v>35</v>
      </c>
      <c r="E125" s="36">
        <v>46181</v>
      </c>
      <c r="F125" t="s">
        <v>114</v>
      </c>
      <c r="G125" t="s">
        <v>111</v>
      </c>
      <c r="H125" t="s">
        <v>111</v>
      </c>
      <c r="I125" t="s">
        <v>697</v>
      </c>
      <c r="J125" t="s">
        <v>697</v>
      </c>
      <c r="K125" t="s">
        <v>697</v>
      </c>
      <c r="L125" t="s">
        <v>39</v>
      </c>
      <c r="M125" t="s">
        <v>125</v>
      </c>
      <c r="N125" t="s">
        <v>14</v>
      </c>
      <c r="O125" t="s">
        <v>125</v>
      </c>
      <c r="P125" t="s">
        <v>561</v>
      </c>
      <c r="Q125" s="36">
        <v>46191</v>
      </c>
      <c r="R125" t="s">
        <v>424</v>
      </c>
      <c r="S125" s="36">
        <v>46204</v>
      </c>
      <c r="T125" t="s">
        <v>425</v>
      </c>
      <c r="X125" t="s">
        <v>66</v>
      </c>
      <c r="Y125" t="s">
        <v>47</v>
      </c>
      <c r="Z125" t="s">
        <v>426</v>
      </c>
      <c r="AA125" t="s">
        <v>134</v>
      </c>
      <c r="AB125" t="s">
        <v>212</v>
      </c>
      <c r="AC125" t="s">
        <v>53</v>
      </c>
      <c r="AD125" s="36">
        <v>46268</v>
      </c>
      <c r="AE125" t="s">
        <v>93</v>
      </c>
      <c r="AF125" s="36">
        <v>46204</v>
      </c>
      <c r="AG125" t="s">
        <v>46</v>
      </c>
      <c r="AH125" s="43">
        <v>100</v>
      </c>
      <c r="AI125" s="43">
        <v>100</v>
      </c>
      <c r="AJ125" s="44">
        <v>100</v>
      </c>
      <c r="AK125" t="s">
        <v>697</v>
      </c>
      <c r="AM125" t="s">
        <v>697</v>
      </c>
      <c r="AN125" s="39" t="str">
        <f>VLOOKUP(M125,[1]municipios!$B:$D,3,0)</f>
        <v>PONTA PORA</v>
      </c>
      <c r="AO125" s="37">
        <f t="shared" ca="1" si="7"/>
        <v>107</v>
      </c>
      <c r="AP125" s="38" t="str">
        <f t="shared" ca="1" si="8"/>
        <v>&gt;50 dias</v>
      </c>
      <c r="AQ125" s="39" t="str">
        <f t="shared" ca="1" si="9"/>
        <v>Dentro</v>
      </c>
      <c r="AR125" s="39" t="str">
        <f t="shared" ca="1" si="10"/>
        <v>Não risco</v>
      </c>
      <c r="AS125" s="37" t="e">
        <f t="shared" si="11"/>
        <v>#VALUE!</v>
      </c>
      <c r="AT125" s="39">
        <f t="shared" ca="1" si="12"/>
        <v>13</v>
      </c>
      <c r="AU125" s="47" t="str">
        <f>VLOOKUP(X125,'pontos focais'!C:D,2,0)</f>
        <v>DCMD Orçamento e Projetos</v>
      </c>
      <c r="AV125" s="41">
        <f t="shared" si="13"/>
        <v>-46191</v>
      </c>
    </row>
    <row r="126" spans="1:48" x14ac:dyDescent="0.25">
      <c r="A126" t="s">
        <v>932</v>
      </c>
      <c r="B126" t="s">
        <v>53</v>
      </c>
      <c r="C126" t="s">
        <v>54</v>
      </c>
      <c r="D126" t="s">
        <v>55</v>
      </c>
      <c r="E126" s="36">
        <v>46190</v>
      </c>
      <c r="F126" t="s">
        <v>114</v>
      </c>
      <c r="G126" t="s">
        <v>111</v>
      </c>
      <c r="H126" t="s">
        <v>111</v>
      </c>
      <c r="I126" t="s">
        <v>697</v>
      </c>
      <c r="J126" t="s">
        <v>697</v>
      </c>
      <c r="K126" t="s">
        <v>697</v>
      </c>
      <c r="L126" t="s">
        <v>39</v>
      </c>
      <c r="M126" t="s">
        <v>125</v>
      </c>
      <c r="N126" t="s">
        <v>68</v>
      </c>
      <c r="O126" t="s">
        <v>125</v>
      </c>
      <c r="P126" t="s">
        <v>506</v>
      </c>
      <c r="Q126" s="36">
        <v>46252</v>
      </c>
      <c r="R126" t="s">
        <v>692</v>
      </c>
      <c r="S126" s="36">
        <v>46268</v>
      </c>
      <c r="T126" t="s">
        <v>1023</v>
      </c>
      <c r="V126" s="36">
        <v>46272</v>
      </c>
      <c r="X126" t="s">
        <v>88</v>
      </c>
      <c r="Y126" t="s">
        <v>316</v>
      </c>
      <c r="Z126" t="s">
        <v>507</v>
      </c>
      <c r="AA126" t="s">
        <v>508</v>
      </c>
      <c r="AB126" t="s">
        <v>212</v>
      </c>
      <c r="AC126" t="s">
        <v>53</v>
      </c>
      <c r="AD126" s="36">
        <v>46268</v>
      </c>
      <c r="AE126" t="s">
        <v>155</v>
      </c>
      <c r="AF126" s="36">
        <v>46268</v>
      </c>
      <c r="AG126" t="s">
        <v>155</v>
      </c>
      <c r="AH126" s="43">
        <v>25</v>
      </c>
      <c r="AI126" s="43">
        <v>25</v>
      </c>
      <c r="AJ126" s="44">
        <v>25</v>
      </c>
      <c r="AK126" t="s">
        <v>697</v>
      </c>
      <c r="AM126" t="s">
        <v>697</v>
      </c>
      <c r="AN126" s="39" t="str">
        <f>VLOOKUP(M126,[1]municipios!$B:$D,3,0)</f>
        <v>PONTA PORA</v>
      </c>
      <c r="AO126" s="37">
        <f t="shared" ca="1" si="7"/>
        <v>98</v>
      </c>
      <c r="AP126" s="38" t="str">
        <f t="shared" ca="1" si="8"/>
        <v>&gt;50 dias</v>
      </c>
      <c r="AQ126" s="39" t="str">
        <f t="shared" ca="1" si="9"/>
        <v>Dentro</v>
      </c>
      <c r="AR126" s="39" t="str">
        <f t="shared" ca="1" si="10"/>
        <v>Não risco</v>
      </c>
      <c r="AS126" s="37" t="e">
        <f t="shared" si="11"/>
        <v>#VALUE!</v>
      </c>
      <c r="AT126" s="39">
        <f t="shared" ca="1" si="12"/>
        <v>16</v>
      </c>
      <c r="AU126" s="47" t="str">
        <f>VLOOKUP(X126,'pontos focais'!C:D,2,0)</f>
        <v>DESC Agentes de Relacionamento</v>
      </c>
      <c r="AV126" s="41">
        <f t="shared" si="13"/>
        <v>-46252</v>
      </c>
    </row>
    <row r="127" spans="1:48" x14ac:dyDescent="0.25">
      <c r="A127" t="s">
        <v>834</v>
      </c>
      <c r="B127" t="s">
        <v>53</v>
      </c>
      <c r="C127" t="s">
        <v>133</v>
      </c>
      <c r="D127" t="s">
        <v>55</v>
      </c>
      <c r="E127" s="36">
        <v>46188</v>
      </c>
      <c r="F127" t="s">
        <v>44</v>
      </c>
      <c r="G127" t="s">
        <v>111</v>
      </c>
      <c r="H127" t="s">
        <v>111</v>
      </c>
      <c r="I127" t="s">
        <v>697</v>
      </c>
      <c r="J127" t="s">
        <v>697</v>
      </c>
      <c r="K127" t="s">
        <v>835</v>
      </c>
      <c r="L127" t="s">
        <v>39</v>
      </c>
      <c r="M127" t="s">
        <v>215</v>
      </c>
      <c r="N127" t="s">
        <v>14</v>
      </c>
      <c r="O127" t="s">
        <v>215</v>
      </c>
      <c r="P127" t="s">
        <v>562</v>
      </c>
      <c r="Q127" s="36">
        <v>46216</v>
      </c>
      <c r="R127" t="s">
        <v>509</v>
      </c>
      <c r="S127" s="36">
        <v>46246</v>
      </c>
      <c r="T127" t="s">
        <v>563</v>
      </c>
      <c r="W127" s="36">
        <v>46227</v>
      </c>
      <c r="X127" t="s">
        <v>44</v>
      </c>
      <c r="Y127" t="s">
        <v>546</v>
      </c>
      <c r="Z127" t="s">
        <v>429</v>
      </c>
      <c r="AA127" t="s">
        <v>44</v>
      </c>
      <c r="AB127" t="s">
        <v>212</v>
      </c>
      <c r="AC127" t="s">
        <v>53</v>
      </c>
      <c r="AD127" s="36">
        <v>46268</v>
      </c>
      <c r="AE127" t="s">
        <v>93</v>
      </c>
      <c r="AF127" s="36">
        <v>46246</v>
      </c>
      <c r="AG127" t="s">
        <v>214</v>
      </c>
      <c r="AH127" s="43">
        <v>100</v>
      </c>
      <c r="AI127" s="43">
        <v>100</v>
      </c>
      <c r="AJ127" s="44">
        <v>100</v>
      </c>
      <c r="AK127" t="s">
        <v>697</v>
      </c>
      <c r="AM127" t="s">
        <v>697</v>
      </c>
      <c r="AN127" s="39" t="str">
        <f>VLOOKUP(M127,[1]municipios!$B:$D,3,0)</f>
        <v>NAVIRAI</v>
      </c>
      <c r="AO127" s="37">
        <f t="shared" ca="1" si="7"/>
        <v>100</v>
      </c>
      <c r="AP127" s="38" t="str">
        <f t="shared" ca="1" si="8"/>
        <v>&gt;50 dias</v>
      </c>
      <c r="AQ127" s="39" t="str">
        <f t="shared" ca="1" si="9"/>
        <v>Dentro</v>
      </c>
      <c r="AR127" s="39" t="str">
        <f t="shared" ca="1" si="10"/>
        <v>Não risco</v>
      </c>
      <c r="AS127" s="37" t="e">
        <f t="shared" si="11"/>
        <v>#VALUE!</v>
      </c>
      <c r="AT127" s="39">
        <f t="shared" ca="1" si="12"/>
        <v>30</v>
      </c>
      <c r="AU127" s="47" t="str">
        <f>VLOOKUP(X127,'pontos focais'!C:D,2,0)</f>
        <v>Institucional</v>
      </c>
      <c r="AV127" s="41">
        <f t="shared" si="13"/>
        <v>-46216</v>
      </c>
    </row>
    <row r="128" spans="1:48" x14ac:dyDescent="0.25">
      <c r="A128" t="s">
        <v>834</v>
      </c>
      <c r="B128" t="s">
        <v>53</v>
      </c>
      <c r="C128" t="s">
        <v>43</v>
      </c>
      <c r="D128" t="s">
        <v>35</v>
      </c>
      <c r="E128" s="36">
        <v>46188</v>
      </c>
      <c r="F128" t="s">
        <v>44</v>
      </c>
      <c r="G128" t="s">
        <v>111</v>
      </c>
      <c r="H128" t="s">
        <v>111</v>
      </c>
      <c r="I128" t="s">
        <v>697</v>
      </c>
      <c r="J128" t="s">
        <v>697</v>
      </c>
      <c r="K128" t="s">
        <v>835</v>
      </c>
      <c r="L128" t="s">
        <v>39</v>
      </c>
      <c r="M128" t="s">
        <v>215</v>
      </c>
      <c r="N128" t="s">
        <v>14</v>
      </c>
      <c r="O128" t="s">
        <v>215</v>
      </c>
      <c r="P128" t="s">
        <v>562</v>
      </c>
      <c r="Q128" s="36">
        <v>46192</v>
      </c>
      <c r="R128" t="s">
        <v>427</v>
      </c>
      <c r="S128" s="36">
        <v>46214</v>
      </c>
      <c r="T128" t="s">
        <v>428</v>
      </c>
      <c r="U128" s="36">
        <v>46219</v>
      </c>
      <c r="V128" s="36">
        <v>46212</v>
      </c>
      <c r="W128" s="36">
        <v>46212</v>
      </c>
      <c r="X128" t="s">
        <v>69</v>
      </c>
      <c r="Y128" t="s">
        <v>94</v>
      </c>
      <c r="Z128" t="s">
        <v>429</v>
      </c>
      <c r="AA128" t="s">
        <v>44</v>
      </c>
      <c r="AB128" t="s">
        <v>212</v>
      </c>
      <c r="AC128" t="s">
        <v>53</v>
      </c>
      <c r="AD128" s="36">
        <v>46268</v>
      </c>
      <c r="AE128" t="s">
        <v>93</v>
      </c>
      <c r="AF128" s="36">
        <v>46214</v>
      </c>
      <c r="AG128" t="s">
        <v>72</v>
      </c>
      <c r="AH128" s="43">
        <v>100</v>
      </c>
      <c r="AI128" s="43">
        <v>100</v>
      </c>
      <c r="AJ128" s="44">
        <v>100</v>
      </c>
      <c r="AK128" t="s">
        <v>697</v>
      </c>
      <c r="AM128" t="s">
        <v>697</v>
      </c>
      <c r="AN128" s="39" t="str">
        <f>VLOOKUP(M128,[1]municipios!$B:$D,3,0)</f>
        <v>NAVIRAI</v>
      </c>
      <c r="AO128" s="37">
        <f t="shared" ca="1" si="7"/>
        <v>100</v>
      </c>
      <c r="AP128" s="38" t="str">
        <f t="shared" ca="1" si="8"/>
        <v>&gt;50 dias</v>
      </c>
      <c r="AQ128" s="39" t="str">
        <f t="shared" ca="1" si="9"/>
        <v>Dentro</v>
      </c>
      <c r="AR128" s="39" t="str">
        <f t="shared" ca="1" si="10"/>
        <v>Não risco</v>
      </c>
      <c r="AS128" s="37" t="e">
        <f t="shared" si="11"/>
        <v>#VALUE!</v>
      </c>
      <c r="AT128" s="39">
        <f t="shared" ca="1" si="12"/>
        <v>22</v>
      </c>
      <c r="AU128" s="47" t="str">
        <f>VLOOKUP(X128,'pontos focais'!C:D,2,0)</f>
        <v>DCMD Programação de Obra</v>
      </c>
      <c r="AV128" s="41">
        <f t="shared" si="13"/>
        <v>27</v>
      </c>
    </row>
    <row r="129" spans="1:48" x14ac:dyDescent="0.25">
      <c r="A129" t="s">
        <v>836</v>
      </c>
      <c r="B129" t="s">
        <v>53</v>
      </c>
      <c r="C129" t="s">
        <v>54</v>
      </c>
      <c r="D129" t="s">
        <v>35</v>
      </c>
      <c r="E129" s="36">
        <v>46191</v>
      </c>
      <c r="F129" t="s">
        <v>44</v>
      </c>
      <c r="G129" t="s">
        <v>111</v>
      </c>
      <c r="H129" t="s">
        <v>111</v>
      </c>
      <c r="I129" t="s">
        <v>697</v>
      </c>
      <c r="J129" t="s">
        <v>697</v>
      </c>
      <c r="K129" t="s">
        <v>697</v>
      </c>
      <c r="L129" t="s">
        <v>39</v>
      </c>
      <c r="M129" t="s">
        <v>95</v>
      </c>
      <c r="N129" t="s">
        <v>80</v>
      </c>
      <c r="O129" t="s">
        <v>95</v>
      </c>
      <c r="P129" t="s">
        <v>564</v>
      </c>
      <c r="Q129" s="36">
        <v>46192</v>
      </c>
      <c r="R129" t="s">
        <v>430</v>
      </c>
      <c r="S129" s="36">
        <v>46205</v>
      </c>
      <c r="T129" t="s">
        <v>431</v>
      </c>
      <c r="U129" s="36">
        <v>46211</v>
      </c>
      <c r="V129" s="36">
        <v>46210</v>
      </c>
      <c r="W129" s="36">
        <v>46205</v>
      </c>
      <c r="X129" t="s">
        <v>66</v>
      </c>
      <c r="Y129" t="s">
        <v>47</v>
      </c>
      <c r="Z129" t="s">
        <v>432</v>
      </c>
      <c r="AA129" t="s">
        <v>44</v>
      </c>
      <c r="AB129" t="s">
        <v>212</v>
      </c>
      <c r="AC129" t="s">
        <v>53</v>
      </c>
      <c r="AD129" s="36">
        <v>46268</v>
      </c>
      <c r="AE129" t="s">
        <v>93</v>
      </c>
      <c r="AF129" s="36">
        <v>46205</v>
      </c>
      <c r="AG129" t="s">
        <v>46</v>
      </c>
      <c r="AH129" s="43">
        <v>100</v>
      </c>
      <c r="AI129" s="43">
        <v>100</v>
      </c>
      <c r="AJ129" s="44">
        <v>100</v>
      </c>
      <c r="AK129" t="s">
        <v>697</v>
      </c>
      <c r="AM129" t="s">
        <v>697</v>
      </c>
      <c r="AN129" s="39" t="str">
        <f>VLOOKUP(M129,[1]municipios!$B:$D,3,0)</f>
        <v>NAVIRAI</v>
      </c>
      <c r="AO129" s="37">
        <f t="shared" ca="1" si="7"/>
        <v>97</v>
      </c>
      <c r="AP129" s="38" t="str">
        <f t="shared" ca="1" si="8"/>
        <v>&gt;50 dias</v>
      </c>
      <c r="AQ129" s="39" t="str">
        <f t="shared" ca="1" si="9"/>
        <v>Dentro</v>
      </c>
      <c r="AR129" s="39" t="str">
        <f t="shared" ca="1" si="10"/>
        <v>Não risco</v>
      </c>
      <c r="AS129" s="37" t="e">
        <f t="shared" si="11"/>
        <v>#VALUE!</v>
      </c>
      <c r="AT129" s="39">
        <f t="shared" ca="1" si="12"/>
        <v>13</v>
      </c>
      <c r="AU129" s="47" t="str">
        <f>VLOOKUP(X129,'pontos focais'!C:D,2,0)</f>
        <v>DCMD Orçamento e Projetos</v>
      </c>
      <c r="AV129" s="41">
        <f t="shared" si="13"/>
        <v>19</v>
      </c>
    </row>
    <row r="130" spans="1:48" x14ac:dyDescent="0.25">
      <c r="A130" t="s">
        <v>836</v>
      </c>
      <c r="B130" t="s">
        <v>53</v>
      </c>
      <c r="C130" t="s">
        <v>54</v>
      </c>
      <c r="D130" t="s">
        <v>55</v>
      </c>
      <c r="E130" s="36">
        <v>46191</v>
      </c>
      <c r="F130" t="s">
        <v>44</v>
      </c>
      <c r="G130" t="s">
        <v>111</v>
      </c>
      <c r="H130" t="s">
        <v>111</v>
      </c>
      <c r="I130" t="s">
        <v>697</v>
      </c>
      <c r="J130" t="s">
        <v>697</v>
      </c>
      <c r="K130" t="s">
        <v>697</v>
      </c>
      <c r="L130" t="s">
        <v>39</v>
      </c>
      <c r="M130" t="s">
        <v>95</v>
      </c>
      <c r="N130" t="s">
        <v>80</v>
      </c>
      <c r="O130" t="s">
        <v>95</v>
      </c>
      <c r="P130" t="s">
        <v>564</v>
      </c>
      <c r="Q130" s="36">
        <v>46245</v>
      </c>
      <c r="R130" t="s">
        <v>837</v>
      </c>
      <c r="S130" s="36">
        <v>46246</v>
      </c>
      <c r="T130" t="s">
        <v>838</v>
      </c>
      <c r="W130" s="36">
        <v>46213</v>
      </c>
      <c r="X130" t="s">
        <v>49</v>
      </c>
      <c r="Y130" t="s">
        <v>546</v>
      </c>
      <c r="Z130" t="s">
        <v>432</v>
      </c>
      <c r="AA130" t="s">
        <v>44</v>
      </c>
      <c r="AB130" t="s">
        <v>212</v>
      </c>
      <c r="AC130" t="s">
        <v>53</v>
      </c>
      <c r="AD130" s="36">
        <v>46268</v>
      </c>
      <c r="AE130" t="s">
        <v>93</v>
      </c>
      <c r="AF130" s="36">
        <v>46246</v>
      </c>
      <c r="AG130" t="s">
        <v>214</v>
      </c>
      <c r="AH130" s="43">
        <v>100</v>
      </c>
      <c r="AI130" s="43">
        <v>100</v>
      </c>
      <c r="AJ130" s="44">
        <v>100</v>
      </c>
      <c r="AK130" t="s">
        <v>697</v>
      </c>
      <c r="AM130" t="s">
        <v>697</v>
      </c>
      <c r="AN130" s="39" t="str">
        <f>VLOOKUP(M130,[1]municipios!$B:$D,3,0)</f>
        <v>NAVIRAI</v>
      </c>
      <c r="AO130" s="37">
        <f t="shared" ca="1" si="7"/>
        <v>97</v>
      </c>
      <c r="AP130" s="38" t="str">
        <f t="shared" ca="1" si="8"/>
        <v>&gt;50 dias</v>
      </c>
      <c r="AQ130" s="39" t="str">
        <f t="shared" ca="1" si="9"/>
        <v>Dentro</v>
      </c>
      <c r="AR130" s="39" t="str">
        <f t="shared" ca="1" si="10"/>
        <v>Não risco</v>
      </c>
      <c r="AS130" s="37" t="e">
        <f t="shared" si="11"/>
        <v>#VALUE!</v>
      </c>
      <c r="AT130" s="39">
        <f t="shared" ca="1" si="12"/>
        <v>1</v>
      </c>
      <c r="AU130" s="47" t="str">
        <f>VLOOKUP(X130,'pontos focais'!C:D,2,0)</f>
        <v>DESC Agentes de Relacionamento</v>
      </c>
      <c r="AV130" s="41">
        <f t="shared" si="13"/>
        <v>-46245</v>
      </c>
    </row>
    <row r="131" spans="1:48" x14ac:dyDescent="0.25">
      <c r="A131" t="s">
        <v>839</v>
      </c>
      <c r="B131" t="s">
        <v>53</v>
      </c>
      <c r="C131" t="s">
        <v>54</v>
      </c>
      <c r="D131" t="s">
        <v>35</v>
      </c>
      <c r="E131" s="36">
        <v>46080</v>
      </c>
      <c r="F131" t="s">
        <v>88</v>
      </c>
      <c r="G131" t="s">
        <v>111</v>
      </c>
      <c r="H131" t="s">
        <v>111</v>
      </c>
      <c r="I131" t="s">
        <v>697</v>
      </c>
      <c r="J131" t="s">
        <v>697</v>
      </c>
      <c r="K131" t="s">
        <v>740</v>
      </c>
      <c r="L131" t="s">
        <v>39</v>
      </c>
      <c r="M131" t="s">
        <v>213</v>
      </c>
      <c r="N131" t="s">
        <v>14</v>
      </c>
      <c r="O131" t="s">
        <v>213</v>
      </c>
      <c r="P131" t="s">
        <v>271</v>
      </c>
      <c r="Q131" s="36">
        <v>46245</v>
      </c>
      <c r="R131" t="s">
        <v>510</v>
      </c>
      <c r="S131" s="36">
        <v>46247</v>
      </c>
      <c r="T131" t="s">
        <v>643</v>
      </c>
      <c r="U131" s="36">
        <v>46283</v>
      </c>
      <c r="W131" s="36">
        <v>46247</v>
      </c>
      <c r="X131" t="s">
        <v>72</v>
      </c>
      <c r="Y131" t="s">
        <v>546</v>
      </c>
      <c r="Z131" t="s">
        <v>272</v>
      </c>
      <c r="AA131" t="s">
        <v>88</v>
      </c>
      <c r="AB131" t="s">
        <v>212</v>
      </c>
      <c r="AC131" t="s">
        <v>53</v>
      </c>
      <c r="AD131" s="36">
        <v>46268</v>
      </c>
      <c r="AE131" t="s">
        <v>93</v>
      </c>
      <c r="AF131" s="36">
        <v>46247</v>
      </c>
      <c r="AG131" t="s">
        <v>214</v>
      </c>
      <c r="AH131" s="43">
        <v>100</v>
      </c>
      <c r="AI131" s="43">
        <v>100</v>
      </c>
      <c r="AJ131" s="44">
        <v>100</v>
      </c>
      <c r="AK131" t="s">
        <v>697</v>
      </c>
      <c r="AM131" t="s">
        <v>697</v>
      </c>
      <c r="AN131" s="39" t="str">
        <f>VLOOKUP(M131,[1]municipios!$B:$D,3,0)</f>
        <v>RIO BRILHANTE</v>
      </c>
      <c r="AO131" s="37">
        <f t="shared" ref="AO131:AO161" ca="1" si="14">TODAY()-E131</f>
        <v>208</v>
      </c>
      <c r="AP131" s="38" t="str">
        <f t="shared" ref="AP131:AP161" ca="1" si="15">IF(AO131&lt;=5,"0–5 dias",IF(AO131&lt;=15,"6–15 dias",IF(AO131&lt;=16,"16–30 dias",IF(AO131&lt;=30,"30–50 dias","&gt;50 dias"))))</f>
        <v>&gt;50 dias</v>
      </c>
      <c r="AQ131" s="39" t="str">
        <f t="shared" ref="AQ131:AQ161" ca="1" si="16">IF(U131="","Dentro",(IF(IF(W131="",TODAY(),W131)&lt;=U131,"Dentro","Fora")))</f>
        <v>Dentro</v>
      </c>
      <c r="AR131" s="39" t="str">
        <f t="shared" ref="AR131:AR161" ca="1" si="17">IF(U131="","Não risco",IF((TODAY()-U131)&lt;=7,"Risco","Não risco"))</f>
        <v>Risco</v>
      </c>
      <c r="AS131" s="37" t="e">
        <f t="shared" ref="AS131:AS161" si="18">IF(SEARCH("integrar",P131)&gt;0,"Sim","Não")</f>
        <v>#VALUE!</v>
      </c>
      <c r="AT131" s="39">
        <f t="shared" ref="AT131:AT161" ca="1" si="19">IF(S131="",TODAY()-Q131,S131-Q131)</f>
        <v>2</v>
      </c>
      <c r="AU131" s="47" t="str">
        <f>VLOOKUP(X131,'pontos focais'!C:D,2,0)</f>
        <v>DCMD Programação de Obra</v>
      </c>
      <c r="AV131" s="41">
        <f t="shared" ref="AV131:AV161" si="20">U131-Q131</f>
        <v>38</v>
      </c>
    </row>
    <row r="132" spans="1:48" x14ac:dyDescent="0.25">
      <c r="A132" t="s">
        <v>840</v>
      </c>
      <c r="B132" t="s">
        <v>53</v>
      </c>
      <c r="C132" t="s">
        <v>34</v>
      </c>
      <c r="D132" t="s">
        <v>78</v>
      </c>
      <c r="E132" s="36">
        <v>46113</v>
      </c>
      <c r="F132" t="s">
        <v>88</v>
      </c>
      <c r="G132" t="s">
        <v>111</v>
      </c>
      <c r="H132" t="s">
        <v>111</v>
      </c>
      <c r="I132" t="s">
        <v>697</v>
      </c>
      <c r="J132" t="s">
        <v>841</v>
      </c>
      <c r="K132" t="s">
        <v>697</v>
      </c>
      <c r="L132" t="s">
        <v>39</v>
      </c>
      <c r="M132" t="s">
        <v>84</v>
      </c>
      <c r="N132" t="s">
        <v>14</v>
      </c>
      <c r="O132" t="s">
        <v>84</v>
      </c>
      <c r="P132" t="s">
        <v>437</v>
      </c>
      <c r="Q132" s="36">
        <v>46192</v>
      </c>
      <c r="R132" t="s">
        <v>437</v>
      </c>
      <c r="S132" s="36">
        <v>46202</v>
      </c>
      <c r="T132" t="s">
        <v>438</v>
      </c>
      <c r="X132" t="s">
        <v>81</v>
      </c>
      <c r="Y132" t="s">
        <v>117</v>
      </c>
      <c r="AA132" t="s">
        <v>88</v>
      </c>
      <c r="AB132" t="s">
        <v>212</v>
      </c>
      <c r="AC132" t="s">
        <v>53</v>
      </c>
      <c r="AD132" s="36">
        <v>46268</v>
      </c>
      <c r="AE132" t="s">
        <v>93</v>
      </c>
      <c r="AF132" s="36">
        <v>46202</v>
      </c>
      <c r="AG132" t="s">
        <v>81</v>
      </c>
      <c r="AH132" s="43">
        <v>100</v>
      </c>
      <c r="AI132" s="43">
        <v>100</v>
      </c>
      <c r="AJ132" s="44">
        <v>50</v>
      </c>
      <c r="AK132" t="s">
        <v>697</v>
      </c>
      <c r="AM132" t="s">
        <v>697</v>
      </c>
      <c r="AN132" s="39" t="str">
        <f>VLOOKUP(M132,[1]municipios!$B:$D,3,0)</f>
        <v>NAVIRAI</v>
      </c>
      <c r="AO132" s="37">
        <f t="shared" ca="1" si="14"/>
        <v>175</v>
      </c>
      <c r="AP132" s="38" t="str">
        <f t="shared" ca="1" si="15"/>
        <v>&gt;50 dias</v>
      </c>
      <c r="AQ132" s="39" t="str">
        <f t="shared" ca="1" si="16"/>
        <v>Dentro</v>
      </c>
      <c r="AR132" s="39" t="str">
        <f t="shared" ca="1" si="17"/>
        <v>Não risco</v>
      </c>
      <c r="AS132" s="37" t="e">
        <f t="shared" si="18"/>
        <v>#VALUE!</v>
      </c>
      <c r="AT132" s="39">
        <f t="shared" ca="1" si="19"/>
        <v>10</v>
      </c>
      <c r="AU132" s="47" t="str">
        <f>VLOOKUP(X132,'pontos focais'!C:D,2,0)</f>
        <v>DEOP Qualidade</v>
      </c>
      <c r="AV132" s="41">
        <f t="shared" si="20"/>
        <v>-46192</v>
      </c>
    </row>
    <row r="133" spans="1:48" x14ac:dyDescent="0.25">
      <c r="A133" t="s">
        <v>842</v>
      </c>
      <c r="B133" t="s">
        <v>53</v>
      </c>
      <c r="C133" t="s">
        <v>34</v>
      </c>
      <c r="D133" t="s">
        <v>35</v>
      </c>
      <c r="E133" s="36">
        <v>46192</v>
      </c>
      <c r="F133" t="s">
        <v>113</v>
      </c>
      <c r="G133" t="s">
        <v>111</v>
      </c>
      <c r="H133" t="s">
        <v>111</v>
      </c>
      <c r="I133" t="s">
        <v>697</v>
      </c>
      <c r="J133" t="s">
        <v>843</v>
      </c>
      <c r="K133" t="s">
        <v>697</v>
      </c>
      <c r="L133" t="s">
        <v>57</v>
      </c>
      <c r="M133" t="s">
        <v>58</v>
      </c>
      <c r="N133" t="s">
        <v>102</v>
      </c>
      <c r="O133" t="s">
        <v>58</v>
      </c>
      <c r="P133" t="s">
        <v>439</v>
      </c>
      <c r="Q133" s="36">
        <v>46204</v>
      </c>
      <c r="R133" t="s">
        <v>513</v>
      </c>
      <c r="S133" s="36">
        <v>46247</v>
      </c>
      <c r="X133" t="s">
        <v>77</v>
      </c>
      <c r="Y133" t="s">
        <v>316</v>
      </c>
      <c r="AA133" t="s">
        <v>113</v>
      </c>
      <c r="AB133" t="s">
        <v>212</v>
      </c>
      <c r="AC133" t="s">
        <v>53</v>
      </c>
      <c r="AD133" s="36">
        <v>46268</v>
      </c>
      <c r="AE133" t="s">
        <v>93</v>
      </c>
      <c r="AF133" s="36">
        <v>46247</v>
      </c>
      <c r="AG133" t="s">
        <v>155</v>
      </c>
      <c r="AH133" s="43">
        <v>100</v>
      </c>
      <c r="AI133" s="43">
        <v>100</v>
      </c>
      <c r="AJ133" s="44">
        <v>100</v>
      </c>
      <c r="AK133" t="s">
        <v>697</v>
      </c>
      <c r="AM133" t="s">
        <v>697</v>
      </c>
      <c r="AN133" s="39" t="str">
        <f>VLOOKUP(M133,[1]municipios!$B:$D,3,0)</f>
        <v>AQUIDAUANA</v>
      </c>
      <c r="AO133" s="37">
        <f t="shared" ca="1" si="14"/>
        <v>96</v>
      </c>
      <c r="AP133" s="38" t="str">
        <f t="shared" ca="1" si="15"/>
        <v>&gt;50 dias</v>
      </c>
      <c r="AQ133" s="39" t="str">
        <f t="shared" ca="1" si="16"/>
        <v>Dentro</v>
      </c>
      <c r="AR133" s="39" t="str">
        <f t="shared" ca="1" si="17"/>
        <v>Não risco</v>
      </c>
      <c r="AS133" s="37" t="e">
        <f t="shared" si="18"/>
        <v>#VALUE!</v>
      </c>
      <c r="AT133" s="39">
        <f t="shared" ca="1" si="19"/>
        <v>43</v>
      </c>
      <c r="AU133" s="47" t="str">
        <f>VLOOKUP(X133,'pontos focais'!C:D,2,0)</f>
        <v>DCMD Manutenção</v>
      </c>
      <c r="AV133" s="41">
        <f t="shared" si="20"/>
        <v>-46204</v>
      </c>
    </row>
    <row r="134" spans="1:48" x14ac:dyDescent="0.25">
      <c r="A134" t="s">
        <v>842</v>
      </c>
      <c r="B134" t="s">
        <v>53</v>
      </c>
      <c r="C134" t="s">
        <v>34</v>
      </c>
      <c r="D134" t="s">
        <v>78</v>
      </c>
      <c r="E134" s="36">
        <v>46192</v>
      </c>
      <c r="F134" t="s">
        <v>113</v>
      </c>
      <c r="G134" t="s">
        <v>111</v>
      </c>
      <c r="H134" t="s">
        <v>111</v>
      </c>
      <c r="I134" t="s">
        <v>697</v>
      </c>
      <c r="J134" t="s">
        <v>843</v>
      </c>
      <c r="K134" t="s">
        <v>697</v>
      </c>
      <c r="L134" t="s">
        <v>57</v>
      </c>
      <c r="M134" t="s">
        <v>58</v>
      </c>
      <c r="N134" t="s">
        <v>102</v>
      </c>
      <c r="O134" t="s">
        <v>58</v>
      </c>
      <c r="P134" t="s">
        <v>439</v>
      </c>
      <c r="Q134" s="36">
        <v>46192</v>
      </c>
      <c r="R134" t="s">
        <v>440</v>
      </c>
      <c r="S134" s="36">
        <v>46246</v>
      </c>
      <c r="W134" s="36">
        <v>46198</v>
      </c>
      <c r="X134" t="s">
        <v>81</v>
      </c>
      <c r="Y134" t="s">
        <v>316</v>
      </c>
      <c r="AA134" t="s">
        <v>113</v>
      </c>
      <c r="AB134" t="s">
        <v>212</v>
      </c>
      <c r="AC134" t="s">
        <v>53</v>
      </c>
      <c r="AD134" s="36">
        <v>46268</v>
      </c>
      <c r="AE134" t="s">
        <v>93</v>
      </c>
      <c r="AF134" s="36">
        <v>46246</v>
      </c>
      <c r="AG134" t="s">
        <v>155</v>
      </c>
      <c r="AH134" s="43">
        <v>100</v>
      </c>
      <c r="AI134" s="43">
        <v>100</v>
      </c>
      <c r="AJ134" s="44">
        <v>100</v>
      </c>
      <c r="AK134" t="s">
        <v>697</v>
      </c>
      <c r="AM134" t="s">
        <v>697</v>
      </c>
      <c r="AN134" s="39" t="str">
        <f>VLOOKUP(M134,[1]municipios!$B:$D,3,0)</f>
        <v>AQUIDAUANA</v>
      </c>
      <c r="AO134" s="37">
        <f t="shared" ca="1" si="14"/>
        <v>96</v>
      </c>
      <c r="AP134" s="38" t="str">
        <f t="shared" ca="1" si="15"/>
        <v>&gt;50 dias</v>
      </c>
      <c r="AQ134" s="39" t="str">
        <f t="shared" ca="1" si="16"/>
        <v>Dentro</v>
      </c>
      <c r="AR134" s="39" t="str">
        <f t="shared" ca="1" si="17"/>
        <v>Não risco</v>
      </c>
      <c r="AS134" s="37" t="e">
        <f t="shared" si="18"/>
        <v>#VALUE!</v>
      </c>
      <c r="AT134" s="39">
        <f t="shared" ca="1" si="19"/>
        <v>54</v>
      </c>
      <c r="AU134" s="47" t="str">
        <f>VLOOKUP(X134,'pontos focais'!C:D,2,0)</f>
        <v>DEOP Qualidade</v>
      </c>
      <c r="AV134" s="41">
        <f t="shared" si="20"/>
        <v>-46192</v>
      </c>
    </row>
    <row r="135" spans="1:48" x14ac:dyDescent="0.25">
      <c r="A135" t="s">
        <v>844</v>
      </c>
      <c r="B135" t="s">
        <v>53</v>
      </c>
      <c r="C135" t="s">
        <v>96</v>
      </c>
      <c r="D135" t="s">
        <v>35</v>
      </c>
      <c r="E135" s="36">
        <v>46146</v>
      </c>
      <c r="F135" t="s">
        <v>113</v>
      </c>
      <c r="G135" t="s">
        <v>111</v>
      </c>
      <c r="H135" t="s">
        <v>111</v>
      </c>
      <c r="I135" t="s">
        <v>697</v>
      </c>
      <c r="J135" t="s">
        <v>845</v>
      </c>
      <c r="K135" t="s">
        <v>697</v>
      </c>
      <c r="L135" t="s">
        <v>39</v>
      </c>
      <c r="M135" t="s">
        <v>213</v>
      </c>
      <c r="N135" t="s">
        <v>102</v>
      </c>
      <c r="O135" t="s">
        <v>213</v>
      </c>
      <c r="P135" t="s">
        <v>307</v>
      </c>
      <c r="Q135" s="36">
        <v>46192</v>
      </c>
      <c r="R135" t="s">
        <v>673</v>
      </c>
      <c r="S135" s="36">
        <v>46252</v>
      </c>
      <c r="T135" t="s">
        <v>674</v>
      </c>
      <c r="X135" t="s">
        <v>274</v>
      </c>
      <c r="Y135" t="s">
        <v>546</v>
      </c>
      <c r="AA135" t="s">
        <v>44</v>
      </c>
      <c r="AB135" t="s">
        <v>212</v>
      </c>
      <c r="AC135" t="s">
        <v>53</v>
      </c>
      <c r="AD135" s="36">
        <v>46259</v>
      </c>
      <c r="AE135" t="s">
        <v>93</v>
      </c>
      <c r="AF135" s="36">
        <v>46252</v>
      </c>
      <c r="AG135" t="s">
        <v>214</v>
      </c>
      <c r="AH135" s="43">
        <v>100</v>
      </c>
      <c r="AI135" s="43">
        <v>100</v>
      </c>
      <c r="AJ135" s="44">
        <v>100</v>
      </c>
      <c r="AK135" t="s">
        <v>697</v>
      </c>
      <c r="AM135" t="s">
        <v>697</v>
      </c>
      <c r="AN135" s="39" t="str">
        <f>VLOOKUP(M135,[1]municipios!$B:$D,3,0)</f>
        <v>RIO BRILHANTE</v>
      </c>
      <c r="AO135" s="37">
        <f t="shared" ca="1" si="14"/>
        <v>142</v>
      </c>
      <c r="AP135" s="38" t="str">
        <f t="shared" ca="1" si="15"/>
        <v>&gt;50 dias</v>
      </c>
      <c r="AQ135" s="39" t="str">
        <f t="shared" ca="1" si="16"/>
        <v>Dentro</v>
      </c>
      <c r="AR135" s="39" t="str">
        <f t="shared" ca="1" si="17"/>
        <v>Não risco</v>
      </c>
      <c r="AS135" s="37" t="e">
        <f t="shared" si="18"/>
        <v>#VALUE!</v>
      </c>
      <c r="AT135" s="39">
        <f t="shared" ca="1" si="19"/>
        <v>60</v>
      </c>
      <c r="AU135" s="47" t="str">
        <f>VLOOKUP(X135,'pontos focais'!C:D,2,0)</f>
        <v>DCMD Manutenção</v>
      </c>
      <c r="AV135" s="41">
        <f t="shared" si="20"/>
        <v>-46192</v>
      </c>
    </row>
    <row r="136" spans="1:48" x14ac:dyDescent="0.25">
      <c r="A136" t="s">
        <v>846</v>
      </c>
      <c r="B136" t="s">
        <v>53</v>
      </c>
      <c r="C136" t="s">
        <v>96</v>
      </c>
      <c r="D136" t="s">
        <v>35</v>
      </c>
      <c r="E136" s="36">
        <v>46245</v>
      </c>
      <c r="F136" t="s">
        <v>113</v>
      </c>
      <c r="G136" t="s">
        <v>111</v>
      </c>
      <c r="H136" t="s">
        <v>111</v>
      </c>
      <c r="I136" t="s">
        <v>697</v>
      </c>
      <c r="J136" t="s">
        <v>847</v>
      </c>
      <c r="K136" t="s">
        <v>697</v>
      </c>
      <c r="L136" t="s">
        <v>39</v>
      </c>
      <c r="M136" t="s">
        <v>213</v>
      </c>
      <c r="N136" t="s">
        <v>68</v>
      </c>
      <c r="O136" t="s">
        <v>213</v>
      </c>
      <c r="P136" t="s">
        <v>444</v>
      </c>
      <c r="R136" t="s">
        <v>445</v>
      </c>
      <c r="S136" s="36">
        <v>46245</v>
      </c>
      <c r="U136" s="36">
        <v>46212</v>
      </c>
      <c r="W136" s="36">
        <v>46212</v>
      </c>
      <c r="X136" t="s">
        <v>77</v>
      </c>
      <c r="Y136" t="s">
        <v>70</v>
      </c>
      <c r="AA136" t="s">
        <v>44</v>
      </c>
      <c r="AB136" t="s">
        <v>212</v>
      </c>
      <c r="AC136" t="s">
        <v>53</v>
      </c>
      <c r="AD136" s="36">
        <v>46268</v>
      </c>
      <c r="AE136" t="s">
        <v>93</v>
      </c>
      <c r="AF136" s="36">
        <v>46245</v>
      </c>
      <c r="AG136" t="s">
        <v>71</v>
      </c>
      <c r="AH136" s="43">
        <v>25</v>
      </c>
      <c r="AI136" s="43">
        <v>25</v>
      </c>
      <c r="AJ136" s="44">
        <v>25</v>
      </c>
      <c r="AK136" t="s">
        <v>697</v>
      </c>
      <c r="AM136" t="s">
        <v>697</v>
      </c>
      <c r="AN136" s="39" t="str">
        <f>VLOOKUP(M136,[1]municipios!$B:$D,3,0)</f>
        <v>RIO BRILHANTE</v>
      </c>
      <c r="AO136" s="37">
        <f t="shared" ca="1" si="14"/>
        <v>43</v>
      </c>
      <c r="AP136" s="38" t="str">
        <f t="shared" ca="1" si="15"/>
        <v>&gt;50 dias</v>
      </c>
      <c r="AQ136" s="39" t="str">
        <f t="shared" ca="1" si="16"/>
        <v>Dentro</v>
      </c>
      <c r="AR136" s="39" t="str">
        <f t="shared" ca="1" si="17"/>
        <v>Não risco</v>
      </c>
      <c r="AS136" s="37" t="e">
        <f t="shared" si="18"/>
        <v>#VALUE!</v>
      </c>
      <c r="AT136" s="39">
        <f t="shared" ca="1" si="19"/>
        <v>46245</v>
      </c>
      <c r="AU136" s="47" t="str">
        <f>VLOOKUP(X136,'pontos focais'!C:D,2,0)</f>
        <v>DCMD Manutenção</v>
      </c>
      <c r="AV136" s="41">
        <f t="shared" si="20"/>
        <v>46212</v>
      </c>
    </row>
    <row r="137" spans="1:48" x14ac:dyDescent="0.25">
      <c r="A137" t="s">
        <v>846</v>
      </c>
      <c r="B137" t="s">
        <v>53</v>
      </c>
      <c r="C137" t="s">
        <v>96</v>
      </c>
      <c r="D137" t="s">
        <v>98</v>
      </c>
      <c r="E137" s="36">
        <v>46245</v>
      </c>
      <c r="F137" t="s">
        <v>113</v>
      </c>
      <c r="G137" t="s">
        <v>111</v>
      </c>
      <c r="H137" t="s">
        <v>111</v>
      </c>
      <c r="I137" t="s">
        <v>697</v>
      </c>
      <c r="J137" t="s">
        <v>847</v>
      </c>
      <c r="K137" t="s">
        <v>697</v>
      </c>
      <c r="L137" t="s">
        <v>39</v>
      </c>
      <c r="M137" t="s">
        <v>213</v>
      </c>
      <c r="N137" t="s">
        <v>68</v>
      </c>
      <c r="O137" t="s">
        <v>213</v>
      </c>
      <c r="P137" t="s">
        <v>444</v>
      </c>
      <c r="Q137" s="36">
        <v>46213</v>
      </c>
      <c r="R137" t="s">
        <v>514</v>
      </c>
      <c r="S137" s="36">
        <v>46247</v>
      </c>
      <c r="X137" t="s">
        <v>515</v>
      </c>
      <c r="Y137" t="s">
        <v>316</v>
      </c>
      <c r="AA137" t="s">
        <v>44</v>
      </c>
      <c r="AB137" t="s">
        <v>212</v>
      </c>
      <c r="AC137" t="s">
        <v>53</v>
      </c>
      <c r="AD137" s="36">
        <v>46268</v>
      </c>
      <c r="AE137" t="s">
        <v>93</v>
      </c>
      <c r="AF137" s="36">
        <v>46247</v>
      </c>
      <c r="AG137" t="s">
        <v>155</v>
      </c>
      <c r="AH137" s="43">
        <v>25</v>
      </c>
      <c r="AI137" s="43">
        <v>25</v>
      </c>
      <c r="AJ137" s="44">
        <v>25</v>
      </c>
      <c r="AK137" t="s">
        <v>697</v>
      </c>
      <c r="AM137" t="s">
        <v>697</v>
      </c>
      <c r="AN137" s="39" t="str">
        <f>VLOOKUP(M137,[1]municipios!$B:$D,3,0)</f>
        <v>RIO BRILHANTE</v>
      </c>
      <c r="AO137" s="37">
        <f t="shared" ca="1" si="14"/>
        <v>43</v>
      </c>
      <c r="AP137" s="38" t="str">
        <f t="shared" ca="1" si="15"/>
        <v>&gt;50 dias</v>
      </c>
      <c r="AQ137" s="39" t="str">
        <f t="shared" ca="1" si="16"/>
        <v>Dentro</v>
      </c>
      <c r="AR137" s="39" t="str">
        <f t="shared" ca="1" si="17"/>
        <v>Não risco</v>
      </c>
      <c r="AS137" s="37" t="e">
        <f t="shared" si="18"/>
        <v>#VALUE!</v>
      </c>
      <c r="AT137" s="39">
        <f t="shared" ca="1" si="19"/>
        <v>34</v>
      </c>
      <c r="AU137" s="47" t="str">
        <f>VLOOKUP(X137,'pontos focais'!C:D,2,0)</f>
        <v>DEMT</v>
      </c>
      <c r="AV137" s="41">
        <f t="shared" si="20"/>
        <v>-46213</v>
      </c>
    </row>
    <row r="138" spans="1:48" x14ac:dyDescent="0.25">
      <c r="A138" t="s">
        <v>848</v>
      </c>
      <c r="B138" t="s">
        <v>53</v>
      </c>
      <c r="C138" t="s">
        <v>133</v>
      </c>
      <c r="D138" t="s">
        <v>118</v>
      </c>
      <c r="E138" s="36">
        <v>46146</v>
      </c>
      <c r="F138" t="s">
        <v>44</v>
      </c>
      <c r="G138" t="s">
        <v>111</v>
      </c>
      <c r="H138" t="s">
        <v>111</v>
      </c>
      <c r="I138" t="s">
        <v>697</v>
      </c>
      <c r="J138" t="s">
        <v>697</v>
      </c>
      <c r="K138" t="s">
        <v>810</v>
      </c>
      <c r="L138" t="s">
        <v>57</v>
      </c>
      <c r="M138" t="s">
        <v>50</v>
      </c>
      <c r="N138" t="s">
        <v>80</v>
      </c>
      <c r="O138" t="s">
        <v>50</v>
      </c>
      <c r="P138" t="s">
        <v>240</v>
      </c>
      <c r="Q138" s="36">
        <v>46238</v>
      </c>
      <c r="R138" t="s">
        <v>240</v>
      </c>
      <c r="S138" s="36">
        <v>46238</v>
      </c>
      <c r="T138" t="s">
        <v>240</v>
      </c>
      <c r="W138" s="36">
        <v>46238</v>
      </c>
      <c r="X138" t="s">
        <v>71</v>
      </c>
      <c r="Y138" t="s">
        <v>70</v>
      </c>
      <c r="Z138" t="s">
        <v>241</v>
      </c>
      <c r="AA138" t="s">
        <v>44</v>
      </c>
      <c r="AB138" t="s">
        <v>212</v>
      </c>
      <c r="AC138" t="s">
        <v>53</v>
      </c>
      <c r="AD138" s="36">
        <v>46268</v>
      </c>
      <c r="AE138" t="s">
        <v>93</v>
      </c>
      <c r="AF138" s="36">
        <v>46238</v>
      </c>
      <c r="AG138" t="s">
        <v>71</v>
      </c>
      <c r="AH138" s="43">
        <v>100</v>
      </c>
      <c r="AI138" s="43">
        <v>100</v>
      </c>
      <c r="AJ138" s="44">
        <v>100</v>
      </c>
      <c r="AK138" t="s">
        <v>697</v>
      </c>
      <c r="AM138" t="s">
        <v>697</v>
      </c>
      <c r="AN138" s="39" t="str">
        <f>VLOOKUP(M138,[1]municipios!$B:$D,3,0)</f>
        <v>AQUIDAUANA</v>
      </c>
      <c r="AO138" s="37">
        <f t="shared" ca="1" si="14"/>
        <v>142</v>
      </c>
      <c r="AP138" s="38" t="str">
        <f t="shared" ca="1" si="15"/>
        <v>&gt;50 dias</v>
      </c>
      <c r="AQ138" s="39" t="str">
        <f t="shared" ca="1" si="16"/>
        <v>Dentro</v>
      </c>
      <c r="AR138" s="39" t="str">
        <f t="shared" ca="1" si="17"/>
        <v>Não risco</v>
      </c>
      <c r="AS138" s="37" t="e">
        <f t="shared" si="18"/>
        <v>#VALUE!</v>
      </c>
      <c r="AT138" s="39">
        <f t="shared" ca="1" si="19"/>
        <v>0</v>
      </c>
      <c r="AU138" s="47" t="str">
        <f>VLOOKUP(X138,'pontos focais'!C:D,2,0)</f>
        <v>Central do Cliente</v>
      </c>
      <c r="AV138" s="41">
        <f t="shared" si="20"/>
        <v>-46238</v>
      </c>
    </row>
    <row r="139" spans="1:48" x14ac:dyDescent="0.25">
      <c r="A139" t="s">
        <v>849</v>
      </c>
      <c r="B139" t="s">
        <v>53</v>
      </c>
      <c r="C139" t="s">
        <v>96</v>
      </c>
      <c r="D139" t="s">
        <v>35</v>
      </c>
      <c r="E139" s="36">
        <v>46146</v>
      </c>
      <c r="F139" t="s">
        <v>113</v>
      </c>
      <c r="G139" t="s">
        <v>111</v>
      </c>
      <c r="H139" t="s">
        <v>111</v>
      </c>
      <c r="I139" t="s">
        <v>697</v>
      </c>
      <c r="J139" t="s">
        <v>850</v>
      </c>
      <c r="K139" t="s">
        <v>697</v>
      </c>
      <c r="L139" t="s">
        <v>39</v>
      </c>
      <c r="M139" t="s">
        <v>213</v>
      </c>
      <c r="N139" t="s">
        <v>68</v>
      </c>
      <c r="O139" t="s">
        <v>213</v>
      </c>
      <c r="P139" t="s">
        <v>308</v>
      </c>
      <c r="Q139" s="36">
        <v>46192</v>
      </c>
      <c r="R139" t="s">
        <v>309</v>
      </c>
      <c r="S139" s="36">
        <v>46252</v>
      </c>
      <c r="T139" t="s">
        <v>675</v>
      </c>
      <c r="X139" t="s">
        <v>113</v>
      </c>
      <c r="Y139" t="s">
        <v>546</v>
      </c>
      <c r="AA139" t="s">
        <v>113</v>
      </c>
      <c r="AB139" t="s">
        <v>212</v>
      </c>
      <c r="AC139" t="s">
        <v>53</v>
      </c>
      <c r="AD139" s="36">
        <v>46259</v>
      </c>
      <c r="AE139" t="s">
        <v>93</v>
      </c>
      <c r="AF139" s="36">
        <v>46252</v>
      </c>
      <c r="AG139" t="s">
        <v>214</v>
      </c>
      <c r="AH139" s="43">
        <v>25</v>
      </c>
      <c r="AI139" s="43">
        <v>25</v>
      </c>
      <c r="AJ139" s="44">
        <v>25</v>
      </c>
      <c r="AK139" t="s">
        <v>697</v>
      </c>
      <c r="AM139" t="s">
        <v>697</v>
      </c>
      <c r="AN139" s="39" t="str">
        <f>VLOOKUP(M139,[1]municipios!$B:$D,3,0)</f>
        <v>RIO BRILHANTE</v>
      </c>
      <c r="AO139" s="37">
        <f t="shared" ca="1" si="14"/>
        <v>142</v>
      </c>
      <c r="AP139" s="38" t="str">
        <f t="shared" ca="1" si="15"/>
        <v>&gt;50 dias</v>
      </c>
      <c r="AQ139" s="39" t="str">
        <f t="shared" ca="1" si="16"/>
        <v>Dentro</v>
      </c>
      <c r="AR139" s="39" t="str">
        <f t="shared" ca="1" si="17"/>
        <v>Não risco</v>
      </c>
      <c r="AS139" s="37" t="e">
        <f t="shared" si="18"/>
        <v>#VALUE!</v>
      </c>
      <c r="AT139" s="39">
        <f t="shared" ca="1" si="19"/>
        <v>60</v>
      </c>
      <c r="AU139" s="47" t="str">
        <f>VLOOKUP(X139,'pontos focais'!C:D,2,0)</f>
        <v>Central do Cliente</v>
      </c>
      <c r="AV139" s="41">
        <f t="shared" si="20"/>
        <v>-46192</v>
      </c>
    </row>
    <row r="140" spans="1:48" x14ac:dyDescent="0.25">
      <c r="A140" t="s">
        <v>851</v>
      </c>
      <c r="B140" t="s">
        <v>53</v>
      </c>
      <c r="C140" t="s">
        <v>54</v>
      </c>
      <c r="D140" t="s">
        <v>35</v>
      </c>
      <c r="E140" s="36">
        <v>46146</v>
      </c>
      <c r="F140" t="s">
        <v>113</v>
      </c>
      <c r="G140" t="s">
        <v>111</v>
      </c>
      <c r="H140" t="s">
        <v>111</v>
      </c>
      <c r="I140" t="s">
        <v>697</v>
      </c>
      <c r="J140" t="s">
        <v>697</v>
      </c>
      <c r="K140" t="s">
        <v>804</v>
      </c>
      <c r="L140" t="s">
        <v>39</v>
      </c>
      <c r="M140" t="s">
        <v>213</v>
      </c>
      <c r="N140" t="s">
        <v>68</v>
      </c>
      <c r="O140" t="s">
        <v>213</v>
      </c>
      <c r="P140" t="s">
        <v>554</v>
      </c>
      <c r="Q140" s="36">
        <v>46203</v>
      </c>
      <c r="R140" t="s">
        <v>311</v>
      </c>
      <c r="S140" s="36">
        <v>46247</v>
      </c>
      <c r="X140" t="s">
        <v>69</v>
      </c>
      <c r="Y140" t="s">
        <v>316</v>
      </c>
      <c r="AA140" t="s">
        <v>113</v>
      </c>
      <c r="AB140" t="s">
        <v>212</v>
      </c>
      <c r="AC140" t="s">
        <v>53</v>
      </c>
      <c r="AD140" s="36">
        <v>46268</v>
      </c>
      <c r="AE140" t="s">
        <v>93</v>
      </c>
      <c r="AF140" s="36">
        <v>46247</v>
      </c>
      <c r="AG140" t="s">
        <v>155</v>
      </c>
      <c r="AH140" s="43">
        <v>25</v>
      </c>
      <c r="AI140" s="43">
        <v>25</v>
      </c>
      <c r="AJ140" s="44">
        <v>25</v>
      </c>
      <c r="AK140" t="s">
        <v>697</v>
      </c>
      <c r="AM140" t="s">
        <v>697</v>
      </c>
      <c r="AN140" s="39" t="str">
        <f>VLOOKUP(M140,[1]municipios!$B:$D,3,0)</f>
        <v>RIO BRILHANTE</v>
      </c>
      <c r="AO140" s="37">
        <f t="shared" ca="1" si="14"/>
        <v>142</v>
      </c>
      <c r="AP140" s="38" t="str">
        <f t="shared" ca="1" si="15"/>
        <v>&gt;50 dias</v>
      </c>
      <c r="AQ140" s="39" t="str">
        <f t="shared" ca="1" si="16"/>
        <v>Dentro</v>
      </c>
      <c r="AR140" s="39" t="str">
        <f t="shared" ca="1" si="17"/>
        <v>Não risco</v>
      </c>
      <c r="AS140" s="37" t="e">
        <f t="shared" si="18"/>
        <v>#VALUE!</v>
      </c>
      <c r="AT140" s="39">
        <f t="shared" ca="1" si="19"/>
        <v>44</v>
      </c>
      <c r="AU140" s="47" t="str">
        <f>VLOOKUP(X140,'pontos focais'!C:D,2,0)</f>
        <v>DCMD Programação de Obra</v>
      </c>
      <c r="AV140" s="41">
        <f t="shared" si="20"/>
        <v>-46203</v>
      </c>
    </row>
    <row r="141" spans="1:48" x14ac:dyDescent="0.25">
      <c r="A141" t="s">
        <v>851</v>
      </c>
      <c r="B141" t="s">
        <v>53</v>
      </c>
      <c r="C141" t="s">
        <v>54</v>
      </c>
      <c r="D141" t="s">
        <v>55</v>
      </c>
      <c r="E141" s="36">
        <v>46146</v>
      </c>
      <c r="F141" t="s">
        <v>113</v>
      </c>
      <c r="G141" t="s">
        <v>111</v>
      </c>
      <c r="H141" t="s">
        <v>111</v>
      </c>
      <c r="I141" t="s">
        <v>697</v>
      </c>
      <c r="J141" t="s">
        <v>697</v>
      </c>
      <c r="K141" t="s">
        <v>804</v>
      </c>
      <c r="L141" t="s">
        <v>39</v>
      </c>
      <c r="M141" t="s">
        <v>213</v>
      </c>
      <c r="N141" t="s">
        <v>68</v>
      </c>
      <c r="O141" t="s">
        <v>213</v>
      </c>
      <c r="P141" t="s">
        <v>554</v>
      </c>
      <c r="Q141" s="36">
        <v>46203</v>
      </c>
      <c r="R141" t="s">
        <v>446</v>
      </c>
      <c r="S141" s="36">
        <v>46227</v>
      </c>
      <c r="U141" s="36">
        <v>46223</v>
      </c>
      <c r="V141" s="36">
        <v>46206</v>
      </c>
      <c r="W141" s="36">
        <v>46206</v>
      </c>
      <c r="X141" t="s">
        <v>49</v>
      </c>
      <c r="Y141" t="s">
        <v>82</v>
      </c>
      <c r="AA141" t="s">
        <v>113</v>
      </c>
      <c r="AB141" t="s">
        <v>212</v>
      </c>
      <c r="AC141" t="s">
        <v>53</v>
      </c>
      <c r="AD141" s="36">
        <v>46268</v>
      </c>
      <c r="AE141" t="s">
        <v>93</v>
      </c>
      <c r="AF141" s="36">
        <v>46227</v>
      </c>
      <c r="AG141" t="s">
        <v>83</v>
      </c>
      <c r="AH141" s="43">
        <v>25</v>
      </c>
      <c r="AI141" s="43">
        <v>25</v>
      </c>
      <c r="AJ141" s="44">
        <v>25</v>
      </c>
      <c r="AK141" t="s">
        <v>697</v>
      </c>
      <c r="AM141" t="s">
        <v>697</v>
      </c>
      <c r="AN141" s="39" t="str">
        <f>VLOOKUP(M141,[1]municipios!$B:$D,3,0)</f>
        <v>RIO BRILHANTE</v>
      </c>
      <c r="AO141" s="37">
        <f t="shared" ca="1" si="14"/>
        <v>142</v>
      </c>
      <c r="AP141" s="38" t="str">
        <f t="shared" ca="1" si="15"/>
        <v>&gt;50 dias</v>
      </c>
      <c r="AQ141" s="39" t="str">
        <f t="shared" ca="1" si="16"/>
        <v>Dentro</v>
      </c>
      <c r="AR141" s="39" t="str">
        <f t="shared" ca="1" si="17"/>
        <v>Não risco</v>
      </c>
      <c r="AS141" s="37" t="e">
        <f t="shared" si="18"/>
        <v>#VALUE!</v>
      </c>
      <c r="AT141" s="39">
        <f t="shared" ca="1" si="19"/>
        <v>24</v>
      </c>
      <c r="AU141" s="47" t="str">
        <f>VLOOKUP(X141,'pontos focais'!C:D,2,0)</f>
        <v>DESC Agentes de Relacionamento</v>
      </c>
      <c r="AV141" s="41">
        <f t="shared" si="20"/>
        <v>20</v>
      </c>
    </row>
    <row r="142" spans="1:48" x14ac:dyDescent="0.25">
      <c r="A142" t="s">
        <v>852</v>
      </c>
      <c r="B142" t="s">
        <v>53</v>
      </c>
      <c r="C142" t="s">
        <v>54</v>
      </c>
      <c r="D142" t="s">
        <v>55</v>
      </c>
      <c r="E142" s="36">
        <v>46192</v>
      </c>
      <c r="F142" t="s">
        <v>44</v>
      </c>
      <c r="G142" t="s">
        <v>111</v>
      </c>
      <c r="H142" t="s">
        <v>111</v>
      </c>
      <c r="I142" t="s">
        <v>697</v>
      </c>
      <c r="J142" t="s">
        <v>697</v>
      </c>
      <c r="K142" t="s">
        <v>697</v>
      </c>
      <c r="L142" t="s">
        <v>39</v>
      </c>
      <c r="M142" t="s">
        <v>52</v>
      </c>
      <c r="N142" t="s">
        <v>14</v>
      </c>
      <c r="O142" t="s">
        <v>52</v>
      </c>
      <c r="P142" t="s">
        <v>518</v>
      </c>
      <c r="Q142" s="36">
        <v>46192</v>
      </c>
      <c r="R142" t="s">
        <v>519</v>
      </c>
      <c r="S142" s="36">
        <v>46246</v>
      </c>
      <c r="T142" t="s">
        <v>565</v>
      </c>
      <c r="W142" s="36">
        <v>46192</v>
      </c>
      <c r="X142" t="s">
        <v>56</v>
      </c>
      <c r="Y142" t="s">
        <v>316</v>
      </c>
      <c r="Z142" t="s">
        <v>520</v>
      </c>
      <c r="AA142" t="s">
        <v>697</v>
      </c>
      <c r="AB142" t="s">
        <v>212</v>
      </c>
      <c r="AC142" t="s">
        <v>53</v>
      </c>
      <c r="AD142" s="36">
        <v>46268</v>
      </c>
      <c r="AE142" t="s">
        <v>93</v>
      </c>
      <c r="AF142" s="36">
        <v>46246</v>
      </c>
      <c r="AG142" t="s">
        <v>155</v>
      </c>
      <c r="AH142" s="43">
        <v>100</v>
      </c>
      <c r="AI142" s="43">
        <v>100</v>
      </c>
      <c r="AJ142" s="44">
        <v>100</v>
      </c>
      <c r="AK142" t="s">
        <v>697</v>
      </c>
      <c r="AM142" t="s">
        <v>697</v>
      </c>
      <c r="AN142" s="39" t="str">
        <f>VLOOKUP(M142,[1]municipios!$B:$D,3,0)</f>
        <v>NOVA ANDRADINA</v>
      </c>
      <c r="AO142" s="37">
        <f t="shared" ca="1" si="14"/>
        <v>96</v>
      </c>
      <c r="AP142" s="38" t="str">
        <f t="shared" ca="1" si="15"/>
        <v>&gt;50 dias</v>
      </c>
      <c r="AQ142" s="39" t="str">
        <f t="shared" ca="1" si="16"/>
        <v>Dentro</v>
      </c>
      <c r="AR142" s="39" t="str">
        <f t="shared" ca="1" si="17"/>
        <v>Não risco</v>
      </c>
      <c r="AS142" s="37" t="e">
        <f t="shared" si="18"/>
        <v>#VALUE!</v>
      </c>
      <c r="AT142" s="39">
        <f t="shared" ca="1" si="19"/>
        <v>54</v>
      </c>
      <c r="AU142" s="47" t="str">
        <f>VLOOKUP(X142,'pontos focais'!C:D,2,0)</f>
        <v>DESC Agentes de Relacionamento</v>
      </c>
      <c r="AV142" s="41">
        <f t="shared" si="20"/>
        <v>-46192</v>
      </c>
    </row>
    <row r="143" spans="1:48" x14ac:dyDescent="0.25">
      <c r="A143" t="s">
        <v>853</v>
      </c>
      <c r="B143" t="s">
        <v>53</v>
      </c>
      <c r="C143" t="s">
        <v>54</v>
      </c>
      <c r="D143" t="s">
        <v>35</v>
      </c>
      <c r="E143" s="36">
        <v>46196</v>
      </c>
      <c r="F143" t="s">
        <v>36</v>
      </c>
      <c r="G143" t="s">
        <v>111</v>
      </c>
      <c r="H143" t="s">
        <v>111</v>
      </c>
      <c r="I143" t="s">
        <v>697</v>
      </c>
      <c r="J143" t="s">
        <v>697</v>
      </c>
      <c r="K143" t="s">
        <v>697</v>
      </c>
      <c r="L143" t="s">
        <v>39</v>
      </c>
      <c r="M143" t="s">
        <v>45</v>
      </c>
      <c r="N143" t="s">
        <v>102</v>
      </c>
      <c r="O143" t="s">
        <v>45</v>
      </c>
      <c r="P143" t="s">
        <v>566</v>
      </c>
      <c r="Q143" s="36">
        <v>46197</v>
      </c>
      <c r="R143" t="s">
        <v>457</v>
      </c>
      <c r="S143" s="36">
        <v>46232</v>
      </c>
      <c r="T143" t="s">
        <v>458</v>
      </c>
      <c r="U143" s="36">
        <v>46234</v>
      </c>
      <c r="X143" t="s">
        <v>66</v>
      </c>
      <c r="Y143" t="s">
        <v>47</v>
      </c>
      <c r="AA143" t="s">
        <v>158</v>
      </c>
      <c r="AB143" t="s">
        <v>212</v>
      </c>
      <c r="AC143" t="s">
        <v>51</v>
      </c>
      <c r="AD143" s="36">
        <v>46268</v>
      </c>
      <c r="AE143" t="s">
        <v>93</v>
      </c>
      <c r="AF143" s="36">
        <v>46232</v>
      </c>
      <c r="AG143" t="s">
        <v>46</v>
      </c>
      <c r="AH143" s="43">
        <v>100</v>
      </c>
      <c r="AI143" s="43">
        <v>100</v>
      </c>
      <c r="AJ143" s="44">
        <v>100</v>
      </c>
      <c r="AK143" t="s">
        <v>697</v>
      </c>
      <c r="AM143" t="s">
        <v>697</v>
      </c>
      <c r="AN143" s="39" t="str">
        <f>VLOOKUP(M143,[1]municipios!$B:$D,3,0)</f>
        <v>DOURADOS</v>
      </c>
      <c r="AO143" s="37">
        <f t="shared" ca="1" si="14"/>
        <v>92</v>
      </c>
      <c r="AP143" s="38" t="str">
        <f t="shared" ca="1" si="15"/>
        <v>&gt;50 dias</v>
      </c>
      <c r="AQ143" s="39" t="str">
        <f t="shared" ca="1" si="16"/>
        <v>Fora</v>
      </c>
      <c r="AR143" s="39" t="str">
        <f t="shared" ca="1" si="17"/>
        <v>Não risco</v>
      </c>
      <c r="AS143" s="37" t="e">
        <f t="shared" si="18"/>
        <v>#VALUE!</v>
      </c>
      <c r="AT143" s="39">
        <f t="shared" ca="1" si="19"/>
        <v>35</v>
      </c>
      <c r="AU143" s="47" t="str">
        <f>VLOOKUP(X143,'pontos focais'!C:D,2,0)</f>
        <v>DCMD Orçamento e Projetos</v>
      </c>
      <c r="AV143" s="41">
        <f t="shared" si="20"/>
        <v>37</v>
      </c>
    </row>
    <row r="144" spans="1:48" x14ac:dyDescent="0.25">
      <c r="A144" t="s">
        <v>854</v>
      </c>
      <c r="B144" t="s">
        <v>53</v>
      </c>
      <c r="C144" t="s">
        <v>54</v>
      </c>
      <c r="D144" t="s">
        <v>35</v>
      </c>
      <c r="E144" s="36">
        <v>46196</v>
      </c>
      <c r="F144" t="s">
        <v>36</v>
      </c>
      <c r="G144" t="s">
        <v>111</v>
      </c>
      <c r="H144" t="s">
        <v>111</v>
      </c>
      <c r="I144" t="s">
        <v>697</v>
      </c>
      <c r="J144" t="s">
        <v>697</v>
      </c>
      <c r="K144" t="s">
        <v>697</v>
      </c>
      <c r="L144" t="s">
        <v>39</v>
      </c>
      <c r="M144" t="s">
        <v>45</v>
      </c>
      <c r="N144" t="s">
        <v>102</v>
      </c>
      <c r="O144" t="s">
        <v>45</v>
      </c>
      <c r="P144" t="s">
        <v>567</v>
      </c>
      <c r="Q144" s="36">
        <v>46197</v>
      </c>
      <c r="R144" t="s">
        <v>459</v>
      </c>
      <c r="S144" s="36">
        <v>46232</v>
      </c>
      <c r="T144" t="s">
        <v>460</v>
      </c>
      <c r="U144" s="36">
        <v>46234</v>
      </c>
      <c r="X144" t="s">
        <v>66</v>
      </c>
      <c r="Y144" t="s">
        <v>47</v>
      </c>
      <c r="AA144" t="s">
        <v>158</v>
      </c>
      <c r="AB144" t="s">
        <v>212</v>
      </c>
      <c r="AC144" t="s">
        <v>51</v>
      </c>
      <c r="AD144" s="36">
        <v>46268</v>
      </c>
      <c r="AE144" t="s">
        <v>93</v>
      </c>
      <c r="AF144" s="36">
        <v>46232</v>
      </c>
      <c r="AG144" t="s">
        <v>46</v>
      </c>
      <c r="AH144" s="43">
        <v>100</v>
      </c>
      <c r="AI144" s="43">
        <v>100</v>
      </c>
      <c r="AJ144" s="44">
        <v>100</v>
      </c>
      <c r="AK144" t="s">
        <v>697</v>
      </c>
      <c r="AM144" t="s">
        <v>697</v>
      </c>
      <c r="AN144" s="39" t="str">
        <f>VLOOKUP(M144,[1]municipios!$B:$D,3,0)</f>
        <v>DOURADOS</v>
      </c>
      <c r="AO144" s="37">
        <f t="shared" ca="1" si="14"/>
        <v>92</v>
      </c>
      <c r="AP144" s="38" t="str">
        <f t="shared" ca="1" si="15"/>
        <v>&gt;50 dias</v>
      </c>
      <c r="AQ144" s="39" t="str">
        <f t="shared" ca="1" si="16"/>
        <v>Fora</v>
      </c>
      <c r="AR144" s="39" t="str">
        <f t="shared" ca="1" si="17"/>
        <v>Não risco</v>
      </c>
      <c r="AS144" s="37" t="e">
        <f t="shared" si="18"/>
        <v>#VALUE!</v>
      </c>
      <c r="AT144" s="39">
        <f t="shared" ca="1" si="19"/>
        <v>35</v>
      </c>
      <c r="AU144" s="47" t="str">
        <f>VLOOKUP(X144,'pontos focais'!C:D,2,0)</f>
        <v>DCMD Orçamento e Projetos</v>
      </c>
      <c r="AV144" s="41">
        <f t="shared" si="20"/>
        <v>37</v>
      </c>
    </row>
    <row r="145" spans="1:48" x14ac:dyDescent="0.25">
      <c r="A145" t="s">
        <v>855</v>
      </c>
      <c r="B145" t="s">
        <v>53</v>
      </c>
      <c r="C145" t="s">
        <v>133</v>
      </c>
      <c r="D145" t="s">
        <v>55</v>
      </c>
      <c r="E145" s="36">
        <v>46196</v>
      </c>
      <c r="F145" t="s">
        <v>36</v>
      </c>
      <c r="G145" t="s">
        <v>111</v>
      </c>
      <c r="H145" t="s">
        <v>111</v>
      </c>
      <c r="I145" t="s">
        <v>697</v>
      </c>
      <c r="J145" t="s">
        <v>697</v>
      </c>
      <c r="K145" t="s">
        <v>835</v>
      </c>
      <c r="L145" t="s">
        <v>39</v>
      </c>
      <c r="M145" t="s">
        <v>215</v>
      </c>
      <c r="N145" t="s">
        <v>102</v>
      </c>
      <c r="O145" t="s">
        <v>215</v>
      </c>
      <c r="P145" t="s">
        <v>568</v>
      </c>
      <c r="Q145" s="36">
        <v>46216</v>
      </c>
      <c r="R145" t="s">
        <v>521</v>
      </c>
      <c r="S145" s="36">
        <v>46246</v>
      </c>
      <c r="T145" t="s">
        <v>569</v>
      </c>
      <c r="U145" s="36">
        <v>46218</v>
      </c>
      <c r="W145" s="36">
        <v>46246</v>
      </c>
      <c r="X145" t="s">
        <v>36</v>
      </c>
      <c r="Y145" t="s">
        <v>70</v>
      </c>
      <c r="AA145" t="s">
        <v>158</v>
      </c>
      <c r="AB145" t="s">
        <v>212</v>
      </c>
      <c r="AC145" t="s">
        <v>51</v>
      </c>
      <c r="AD145" s="36">
        <v>46268</v>
      </c>
      <c r="AE145" t="s">
        <v>93</v>
      </c>
      <c r="AF145" s="36">
        <v>46246</v>
      </c>
      <c r="AG145" t="s">
        <v>71</v>
      </c>
      <c r="AH145" s="43">
        <v>100</v>
      </c>
      <c r="AI145" s="43">
        <v>100</v>
      </c>
      <c r="AJ145" s="44">
        <v>100</v>
      </c>
      <c r="AK145" t="s">
        <v>697</v>
      </c>
      <c r="AM145" t="s">
        <v>697</v>
      </c>
      <c r="AN145" s="39" t="str">
        <f>VLOOKUP(M145,[1]municipios!$B:$D,3,0)</f>
        <v>NAVIRAI</v>
      </c>
      <c r="AO145" s="37">
        <f t="shared" ca="1" si="14"/>
        <v>92</v>
      </c>
      <c r="AP145" s="38" t="str">
        <f t="shared" ca="1" si="15"/>
        <v>&gt;50 dias</v>
      </c>
      <c r="AQ145" s="39" t="str">
        <f t="shared" ca="1" si="16"/>
        <v>Fora</v>
      </c>
      <c r="AR145" s="39" t="str">
        <f t="shared" ca="1" si="17"/>
        <v>Não risco</v>
      </c>
      <c r="AS145" s="37" t="e">
        <f t="shared" si="18"/>
        <v>#VALUE!</v>
      </c>
      <c r="AT145" s="39">
        <f t="shared" ca="1" si="19"/>
        <v>30</v>
      </c>
      <c r="AU145" s="47" t="str">
        <f>VLOOKUP(X145,'pontos focais'!C:D,2,0)</f>
        <v>DESC Agentes de Relacionamento</v>
      </c>
      <c r="AV145" s="41">
        <f t="shared" si="20"/>
        <v>2</v>
      </c>
    </row>
    <row r="146" spans="1:48" x14ac:dyDescent="0.25">
      <c r="A146" t="s">
        <v>855</v>
      </c>
      <c r="B146" t="s">
        <v>53</v>
      </c>
      <c r="C146" t="s">
        <v>43</v>
      </c>
      <c r="D146" t="s">
        <v>35</v>
      </c>
      <c r="E146" s="36">
        <v>46196</v>
      </c>
      <c r="F146" t="s">
        <v>36</v>
      </c>
      <c r="G146" t="s">
        <v>111</v>
      </c>
      <c r="H146" t="s">
        <v>111</v>
      </c>
      <c r="I146" t="s">
        <v>697</v>
      </c>
      <c r="J146" t="s">
        <v>697</v>
      </c>
      <c r="K146" t="s">
        <v>835</v>
      </c>
      <c r="L146" t="s">
        <v>39</v>
      </c>
      <c r="M146" t="s">
        <v>215</v>
      </c>
      <c r="N146" t="s">
        <v>102</v>
      </c>
      <c r="O146" t="s">
        <v>215</v>
      </c>
      <c r="P146" t="s">
        <v>568</v>
      </c>
      <c r="Q146" s="36">
        <v>46197</v>
      </c>
      <c r="R146" t="s">
        <v>461</v>
      </c>
      <c r="S146" s="36">
        <v>46214</v>
      </c>
      <c r="T146" t="s">
        <v>428</v>
      </c>
      <c r="U146" s="36">
        <v>46218</v>
      </c>
      <c r="V146" s="36">
        <v>46212</v>
      </c>
      <c r="W146" s="36">
        <v>46212</v>
      </c>
      <c r="X146" t="s">
        <v>69</v>
      </c>
      <c r="Y146" t="s">
        <v>94</v>
      </c>
      <c r="AA146" t="s">
        <v>158</v>
      </c>
      <c r="AB146" t="s">
        <v>212</v>
      </c>
      <c r="AC146" t="s">
        <v>53</v>
      </c>
      <c r="AD146" s="36">
        <v>46268</v>
      </c>
      <c r="AE146" t="s">
        <v>93</v>
      </c>
      <c r="AF146" s="36">
        <v>46214</v>
      </c>
      <c r="AG146" t="s">
        <v>72</v>
      </c>
      <c r="AH146" s="43">
        <v>100</v>
      </c>
      <c r="AI146" s="43">
        <v>100</v>
      </c>
      <c r="AJ146" s="44">
        <v>100</v>
      </c>
      <c r="AK146" t="s">
        <v>697</v>
      </c>
      <c r="AM146" t="s">
        <v>697</v>
      </c>
      <c r="AN146" s="39" t="str">
        <f>VLOOKUP(M146,[1]municipios!$B:$D,3,0)</f>
        <v>NAVIRAI</v>
      </c>
      <c r="AO146" s="37">
        <f t="shared" ca="1" si="14"/>
        <v>92</v>
      </c>
      <c r="AP146" s="38" t="str">
        <f t="shared" ca="1" si="15"/>
        <v>&gt;50 dias</v>
      </c>
      <c r="AQ146" s="39" t="str">
        <f t="shared" ca="1" si="16"/>
        <v>Dentro</v>
      </c>
      <c r="AR146" s="39" t="str">
        <f t="shared" ca="1" si="17"/>
        <v>Não risco</v>
      </c>
      <c r="AS146" s="37" t="e">
        <f t="shared" si="18"/>
        <v>#VALUE!</v>
      </c>
      <c r="AT146" s="39">
        <f t="shared" ca="1" si="19"/>
        <v>17</v>
      </c>
      <c r="AU146" s="47" t="str">
        <f>VLOOKUP(X146,'pontos focais'!C:D,2,0)</f>
        <v>DCMD Programação de Obra</v>
      </c>
      <c r="AV146" s="41">
        <f t="shared" si="20"/>
        <v>21</v>
      </c>
    </row>
    <row r="147" spans="1:48" x14ac:dyDescent="0.25">
      <c r="A147" t="s">
        <v>856</v>
      </c>
      <c r="B147" t="s">
        <v>53</v>
      </c>
      <c r="C147" t="s">
        <v>54</v>
      </c>
      <c r="D147" t="s">
        <v>35</v>
      </c>
      <c r="E147" s="36">
        <v>46164.041666666664</v>
      </c>
      <c r="F147" t="s">
        <v>113</v>
      </c>
      <c r="G147" t="s">
        <v>111</v>
      </c>
      <c r="H147" t="s">
        <v>111</v>
      </c>
      <c r="I147" t="s">
        <v>697</v>
      </c>
      <c r="J147" t="s">
        <v>697</v>
      </c>
      <c r="K147" t="s">
        <v>857</v>
      </c>
      <c r="L147" t="s">
        <v>64</v>
      </c>
      <c r="M147" t="s">
        <v>65</v>
      </c>
      <c r="N147" t="s">
        <v>102</v>
      </c>
      <c r="O147" t="s">
        <v>65</v>
      </c>
      <c r="P147" t="s">
        <v>570</v>
      </c>
      <c r="Q147" s="36">
        <v>46199</v>
      </c>
      <c r="R147" t="s">
        <v>469</v>
      </c>
      <c r="S147" s="36">
        <v>46211</v>
      </c>
      <c r="T147" t="s">
        <v>234</v>
      </c>
      <c r="U147" s="36">
        <v>46204</v>
      </c>
      <c r="X147" t="s">
        <v>69</v>
      </c>
      <c r="Y147" t="s">
        <v>94</v>
      </c>
      <c r="AA147" t="s">
        <v>113</v>
      </c>
      <c r="AB147" t="s">
        <v>212</v>
      </c>
      <c r="AC147" t="s">
        <v>53</v>
      </c>
      <c r="AD147" s="36">
        <v>46268</v>
      </c>
      <c r="AE147" t="s">
        <v>93</v>
      </c>
      <c r="AF147" s="36">
        <v>46211</v>
      </c>
      <c r="AG147" t="s">
        <v>72</v>
      </c>
      <c r="AH147" s="43">
        <v>100</v>
      </c>
      <c r="AI147" s="43">
        <v>100</v>
      </c>
      <c r="AJ147" s="44">
        <v>100</v>
      </c>
      <c r="AK147" t="s">
        <v>697</v>
      </c>
      <c r="AM147" t="s">
        <v>697</v>
      </c>
      <c r="AN147" s="39" t="str">
        <f>VLOOKUP(M147,[1]municipios!$B:$D,3,0)</f>
        <v>CAMPO GRANDE</v>
      </c>
      <c r="AO147" s="37">
        <f t="shared" ca="1" si="14"/>
        <v>123.95833333333576</v>
      </c>
      <c r="AP147" s="38" t="str">
        <f t="shared" ca="1" si="15"/>
        <v>&gt;50 dias</v>
      </c>
      <c r="AQ147" s="39" t="str">
        <f t="shared" ca="1" si="16"/>
        <v>Fora</v>
      </c>
      <c r="AR147" s="39" t="str">
        <f t="shared" ca="1" si="17"/>
        <v>Não risco</v>
      </c>
      <c r="AS147" s="37" t="e">
        <f t="shared" si="18"/>
        <v>#VALUE!</v>
      </c>
      <c r="AT147" s="39">
        <f t="shared" ca="1" si="19"/>
        <v>12</v>
      </c>
      <c r="AU147" s="47" t="str">
        <f>VLOOKUP(X147,'pontos focais'!C:D,2,0)</f>
        <v>DCMD Programação de Obra</v>
      </c>
      <c r="AV147" s="41">
        <f t="shared" si="20"/>
        <v>5</v>
      </c>
    </row>
    <row r="148" spans="1:48" x14ac:dyDescent="0.25">
      <c r="A148" t="s">
        <v>856</v>
      </c>
      <c r="B148" t="s">
        <v>53</v>
      </c>
      <c r="C148" t="s">
        <v>54</v>
      </c>
      <c r="D148" t="s">
        <v>55</v>
      </c>
      <c r="E148" s="36">
        <v>46164.041666666664</v>
      </c>
      <c r="F148" t="s">
        <v>113</v>
      </c>
      <c r="G148" t="s">
        <v>111</v>
      </c>
      <c r="H148" t="s">
        <v>111</v>
      </c>
      <c r="I148" t="s">
        <v>697</v>
      </c>
      <c r="J148" t="s">
        <v>697</v>
      </c>
      <c r="K148" t="s">
        <v>857</v>
      </c>
      <c r="L148" t="s">
        <v>64</v>
      </c>
      <c r="M148" t="s">
        <v>65</v>
      </c>
      <c r="N148" t="s">
        <v>102</v>
      </c>
      <c r="O148" t="s">
        <v>65</v>
      </c>
      <c r="P148" t="s">
        <v>570</v>
      </c>
      <c r="Q148" s="36">
        <v>46205</v>
      </c>
      <c r="R148" t="s">
        <v>470</v>
      </c>
      <c r="S148" s="36">
        <v>46225</v>
      </c>
      <c r="V148" s="36">
        <v>46209</v>
      </c>
      <c r="W148" s="36">
        <v>46216</v>
      </c>
      <c r="X148" t="s">
        <v>49</v>
      </c>
      <c r="Y148" t="s">
        <v>73</v>
      </c>
      <c r="AA148" t="s">
        <v>113</v>
      </c>
      <c r="AB148" t="s">
        <v>212</v>
      </c>
      <c r="AC148" t="s">
        <v>53</v>
      </c>
      <c r="AD148" s="36">
        <v>46268</v>
      </c>
      <c r="AE148" t="s">
        <v>93</v>
      </c>
      <c r="AF148" s="36">
        <v>46225</v>
      </c>
      <c r="AG148" t="s">
        <v>49</v>
      </c>
      <c r="AH148" s="43">
        <v>100</v>
      </c>
      <c r="AI148" s="43">
        <v>100</v>
      </c>
      <c r="AJ148" s="44">
        <v>100</v>
      </c>
      <c r="AK148" t="s">
        <v>697</v>
      </c>
      <c r="AM148" t="s">
        <v>697</v>
      </c>
      <c r="AN148" s="39" t="str">
        <f>VLOOKUP(M148,[1]municipios!$B:$D,3,0)</f>
        <v>CAMPO GRANDE</v>
      </c>
      <c r="AO148" s="37">
        <f t="shared" ca="1" si="14"/>
        <v>123.95833333333576</v>
      </c>
      <c r="AP148" s="38" t="str">
        <f t="shared" ca="1" si="15"/>
        <v>&gt;50 dias</v>
      </c>
      <c r="AQ148" s="39" t="str">
        <f t="shared" ca="1" si="16"/>
        <v>Dentro</v>
      </c>
      <c r="AR148" s="39" t="str">
        <f t="shared" ca="1" si="17"/>
        <v>Não risco</v>
      </c>
      <c r="AS148" s="37" t="e">
        <f t="shared" si="18"/>
        <v>#VALUE!</v>
      </c>
      <c r="AT148" s="39">
        <f t="shared" ca="1" si="19"/>
        <v>20</v>
      </c>
      <c r="AU148" s="47" t="str">
        <f>VLOOKUP(X148,'pontos focais'!C:D,2,0)</f>
        <v>DESC Agentes de Relacionamento</v>
      </c>
      <c r="AV148" s="41">
        <f t="shared" si="20"/>
        <v>-46205</v>
      </c>
    </row>
    <row r="149" spans="1:48" x14ac:dyDescent="0.25">
      <c r="A149" t="s">
        <v>858</v>
      </c>
      <c r="B149" t="s">
        <v>53</v>
      </c>
      <c r="C149" t="s">
        <v>54</v>
      </c>
      <c r="D149" t="s">
        <v>55</v>
      </c>
      <c r="E149" s="36">
        <v>46163.041666666664</v>
      </c>
      <c r="F149" t="s">
        <v>113</v>
      </c>
      <c r="G149" t="s">
        <v>111</v>
      </c>
      <c r="H149" t="s">
        <v>111</v>
      </c>
      <c r="I149" t="s">
        <v>697</v>
      </c>
      <c r="J149" t="s">
        <v>697</v>
      </c>
      <c r="K149" t="s">
        <v>859</v>
      </c>
      <c r="L149" t="s">
        <v>64</v>
      </c>
      <c r="M149" t="s">
        <v>65</v>
      </c>
      <c r="N149" t="s">
        <v>102</v>
      </c>
      <c r="O149" t="s">
        <v>65</v>
      </c>
      <c r="P149" t="s">
        <v>571</v>
      </c>
      <c r="Q149" s="36">
        <v>46199</v>
      </c>
      <c r="R149" t="s">
        <v>471</v>
      </c>
      <c r="S149" s="36">
        <v>46204</v>
      </c>
      <c r="T149" t="s">
        <v>472</v>
      </c>
      <c r="U149" s="36">
        <v>46203</v>
      </c>
      <c r="V149" s="36">
        <v>46203</v>
      </c>
      <c r="X149" t="s">
        <v>49</v>
      </c>
      <c r="Y149" t="s">
        <v>73</v>
      </c>
      <c r="Z149" t="s">
        <v>473</v>
      </c>
      <c r="AA149" t="s">
        <v>113</v>
      </c>
      <c r="AB149" t="s">
        <v>212</v>
      </c>
      <c r="AC149" t="s">
        <v>53</v>
      </c>
      <c r="AD149" s="36">
        <v>46268</v>
      </c>
      <c r="AE149" t="s">
        <v>93</v>
      </c>
      <c r="AF149" s="36">
        <v>46204</v>
      </c>
      <c r="AG149" t="s">
        <v>49</v>
      </c>
      <c r="AH149" s="43">
        <v>100</v>
      </c>
      <c r="AI149" s="43">
        <v>100</v>
      </c>
      <c r="AJ149" s="44">
        <v>100</v>
      </c>
      <c r="AK149" t="s">
        <v>697</v>
      </c>
      <c r="AM149" t="s">
        <v>697</v>
      </c>
      <c r="AN149" s="39" t="str">
        <f>VLOOKUP(M149,[1]municipios!$B:$D,3,0)</f>
        <v>CAMPO GRANDE</v>
      </c>
      <c r="AO149" s="37">
        <f t="shared" ca="1" si="14"/>
        <v>124.95833333333576</v>
      </c>
      <c r="AP149" s="38" t="str">
        <f t="shared" ca="1" si="15"/>
        <v>&gt;50 dias</v>
      </c>
      <c r="AQ149" s="39" t="str">
        <f t="shared" ca="1" si="16"/>
        <v>Fora</v>
      </c>
      <c r="AR149" s="39" t="str">
        <f t="shared" ca="1" si="17"/>
        <v>Não risco</v>
      </c>
      <c r="AS149" s="37" t="e">
        <f t="shared" si="18"/>
        <v>#VALUE!</v>
      </c>
      <c r="AT149" s="39">
        <f t="shared" ca="1" si="19"/>
        <v>5</v>
      </c>
      <c r="AU149" s="47" t="s">
        <v>584</v>
      </c>
      <c r="AV149" s="41">
        <f t="shared" si="20"/>
        <v>4</v>
      </c>
    </row>
    <row r="150" spans="1:48" x14ac:dyDescent="0.25">
      <c r="A150" t="s">
        <v>858</v>
      </c>
      <c r="B150" t="s">
        <v>53</v>
      </c>
      <c r="C150" t="s">
        <v>43</v>
      </c>
      <c r="D150" t="s">
        <v>35</v>
      </c>
      <c r="E150" s="36">
        <v>46163.041666666664</v>
      </c>
      <c r="F150" t="s">
        <v>113</v>
      </c>
      <c r="G150" t="s">
        <v>111</v>
      </c>
      <c r="H150" t="s">
        <v>111</v>
      </c>
      <c r="I150" t="s">
        <v>697</v>
      </c>
      <c r="J150" t="s">
        <v>697</v>
      </c>
      <c r="K150" t="s">
        <v>859</v>
      </c>
      <c r="L150" t="s">
        <v>64</v>
      </c>
      <c r="M150" t="s">
        <v>65</v>
      </c>
      <c r="N150" t="s">
        <v>102</v>
      </c>
      <c r="O150" t="s">
        <v>65</v>
      </c>
      <c r="P150" t="s">
        <v>571</v>
      </c>
      <c r="Q150" s="36">
        <v>46199</v>
      </c>
      <c r="R150" t="s">
        <v>474</v>
      </c>
      <c r="S150" s="36">
        <v>46227</v>
      </c>
      <c r="U150" s="36">
        <v>46226</v>
      </c>
      <c r="V150" s="36">
        <v>46203</v>
      </c>
      <c r="X150" t="s">
        <v>69</v>
      </c>
      <c r="Y150" t="s">
        <v>82</v>
      </c>
      <c r="Z150" t="s">
        <v>473</v>
      </c>
      <c r="AA150" t="s">
        <v>113</v>
      </c>
      <c r="AB150" t="s">
        <v>212</v>
      </c>
      <c r="AC150" t="s">
        <v>53</v>
      </c>
      <c r="AD150" s="36">
        <v>46268</v>
      </c>
      <c r="AE150" t="s">
        <v>93</v>
      </c>
      <c r="AF150" s="36">
        <v>46227</v>
      </c>
      <c r="AG150" t="s">
        <v>83</v>
      </c>
      <c r="AH150" s="43">
        <v>100</v>
      </c>
      <c r="AI150" s="43">
        <v>100</v>
      </c>
      <c r="AJ150" s="44">
        <v>100</v>
      </c>
      <c r="AK150" t="s">
        <v>697</v>
      </c>
      <c r="AM150" t="s">
        <v>697</v>
      </c>
      <c r="AN150" s="39" t="str">
        <f>VLOOKUP(M150,[1]municipios!$B:$D,3,0)</f>
        <v>CAMPO GRANDE</v>
      </c>
      <c r="AO150" s="37">
        <f t="shared" ca="1" si="14"/>
        <v>124.95833333333576</v>
      </c>
      <c r="AP150" s="38" t="str">
        <f t="shared" ca="1" si="15"/>
        <v>&gt;50 dias</v>
      </c>
      <c r="AQ150" s="39" t="str">
        <f t="shared" ca="1" si="16"/>
        <v>Fora</v>
      </c>
      <c r="AR150" s="39" t="str">
        <f t="shared" ca="1" si="17"/>
        <v>Não risco</v>
      </c>
      <c r="AS150" s="37" t="e">
        <f t="shared" si="18"/>
        <v>#VALUE!</v>
      </c>
      <c r="AT150" s="39">
        <f t="shared" ca="1" si="19"/>
        <v>28</v>
      </c>
      <c r="AU150" s="47" t="str">
        <f>VLOOKUP(X150,'pontos focais'!C:D,2,0)</f>
        <v>DCMD Programação de Obra</v>
      </c>
      <c r="AV150" s="41">
        <f t="shared" si="20"/>
        <v>27</v>
      </c>
    </row>
    <row r="151" spans="1:48" x14ac:dyDescent="0.25">
      <c r="A151" t="s">
        <v>860</v>
      </c>
      <c r="B151" t="s">
        <v>53</v>
      </c>
      <c r="C151" t="s">
        <v>34</v>
      </c>
      <c r="D151" t="s">
        <v>55</v>
      </c>
      <c r="E151" s="36">
        <v>46126</v>
      </c>
      <c r="F151" t="s">
        <v>56</v>
      </c>
      <c r="G151" t="s">
        <v>111</v>
      </c>
      <c r="H151" t="s">
        <v>111</v>
      </c>
      <c r="I151" t="s">
        <v>697</v>
      </c>
      <c r="J151" t="s">
        <v>697</v>
      </c>
      <c r="K151" t="s">
        <v>697</v>
      </c>
      <c r="L151" t="s">
        <v>57</v>
      </c>
      <c r="M151" t="s">
        <v>58</v>
      </c>
      <c r="N151" t="s">
        <v>14</v>
      </c>
      <c r="O151" t="s">
        <v>58</v>
      </c>
      <c r="P151" t="s">
        <v>572</v>
      </c>
      <c r="Q151" s="36">
        <v>46147</v>
      </c>
      <c r="R151" t="s">
        <v>522</v>
      </c>
      <c r="S151" s="36">
        <v>46246</v>
      </c>
      <c r="T151" t="s">
        <v>573</v>
      </c>
      <c r="W151" s="36">
        <v>46246</v>
      </c>
      <c r="X151" t="s">
        <v>56</v>
      </c>
      <c r="Y151" t="s">
        <v>546</v>
      </c>
      <c r="Z151" t="s">
        <v>523</v>
      </c>
      <c r="AA151" t="s">
        <v>456</v>
      </c>
      <c r="AB151" t="s">
        <v>212</v>
      </c>
      <c r="AC151" t="s">
        <v>53</v>
      </c>
      <c r="AD151" s="36">
        <v>46268</v>
      </c>
      <c r="AE151" t="s">
        <v>93</v>
      </c>
      <c r="AF151" s="36">
        <v>46246</v>
      </c>
      <c r="AG151" t="s">
        <v>214</v>
      </c>
      <c r="AH151" s="43">
        <v>100</v>
      </c>
      <c r="AI151" s="43">
        <v>100</v>
      </c>
      <c r="AJ151" s="44">
        <v>100</v>
      </c>
      <c r="AK151" t="s">
        <v>697</v>
      </c>
      <c r="AM151" t="s">
        <v>697</v>
      </c>
      <c r="AN151" s="39" t="str">
        <f>VLOOKUP(M151,[1]municipios!$B:$D,3,0)</f>
        <v>AQUIDAUANA</v>
      </c>
      <c r="AO151" s="37">
        <f t="shared" ca="1" si="14"/>
        <v>162</v>
      </c>
      <c r="AP151" s="38" t="str">
        <f t="shared" ca="1" si="15"/>
        <v>&gt;50 dias</v>
      </c>
      <c r="AQ151" s="39" t="str">
        <f t="shared" ca="1" si="16"/>
        <v>Dentro</v>
      </c>
      <c r="AR151" s="39" t="str">
        <f t="shared" ca="1" si="17"/>
        <v>Não risco</v>
      </c>
      <c r="AS151" s="37" t="e">
        <f t="shared" si="18"/>
        <v>#VALUE!</v>
      </c>
      <c r="AT151" s="39">
        <f t="shared" ca="1" si="19"/>
        <v>99</v>
      </c>
      <c r="AU151" s="47" t="str">
        <f>VLOOKUP(X151,'pontos focais'!C:D,2,0)</f>
        <v>DESC Agentes de Relacionamento</v>
      </c>
      <c r="AV151" s="41">
        <f t="shared" si="20"/>
        <v>-46147</v>
      </c>
    </row>
    <row r="152" spans="1:48" x14ac:dyDescent="0.25">
      <c r="A152" t="s">
        <v>861</v>
      </c>
      <c r="B152" t="s">
        <v>53</v>
      </c>
      <c r="C152" t="s">
        <v>54</v>
      </c>
      <c r="D152" t="s">
        <v>243</v>
      </c>
      <c r="E152" s="36">
        <v>46147</v>
      </c>
      <c r="F152" t="s">
        <v>56</v>
      </c>
      <c r="G152" t="s">
        <v>111</v>
      </c>
      <c r="H152" t="s">
        <v>111</v>
      </c>
      <c r="I152" t="s">
        <v>697</v>
      </c>
      <c r="J152" t="s">
        <v>697</v>
      </c>
      <c r="K152" t="s">
        <v>697</v>
      </c>
      <c r="L152" t="s">
        <v>64</v>
      </c>
      <c r="M152" t="s">
        <v>110</v>
      </c>
      <c r="N152" t="s">
        <v>68</v>
      </c>
      <c r="O152" t="s">
        <v>110</v>
      </c>
      <c r="P152" t="s">
        <v>244</v>
      </c>
      <c r="Q152" s="36">
        <v>46147</v>
      </c>
      <c r="R152" t="s">
        <v>245</v>
      </c>
      <c r="S152" s="36">
        <v>46245</v>
      </c>
      <c r="W152" s="36">
        <v>46147</v>
      </c>
      <c r="X152" t="s">
        <v>246</v>
      </c>
      <c r="Y152" t="s">
        <v>219</v>
      </c>
      <c r="Z152" t="s">
        <v>247</v>
      </c>
      <c r="AA152" t="s">
        <v>56</v>
      </c>
      <c r="AB152" t="s">
        <v>212</v>
      </c>
      <c r="AC152" t="s">
        <v>53</v>
      </c>
      <c r="AD152" s="36">
        <v>46268</v>
      </c>
      <c r="AE152" t="s">
        <v>93</v>
      </c>
      <c r="AF152" s="36">
        <v>46245</v>
      </c>
      <c r="AG152" t="s">
        <v>114</v>
      </c>
      <c r="AH152" s="43">
        <v>25</v>
      </c>
      <c r="AI152" s="43">
        <v>25</v>
      </c>
      <c r="AJ152" s="44">
        <v>25</v>
      </c>
      <c r="AK152" t="s">
        <v>697</v>
      </c>
      <c r="AM152" t="s">
        <v>697</v>
      </c>
      <c r="AN152" s="39" t="str">
        <f>VLOOKUP(M152,[1]municipios!$B:$D,3,0)</f>
        <v>PARANAIBA</v>
      </c>
      <c r="AO152" s="37">
        <f t="shared" ca="1" si="14"/>
        <v>141</v>
      </c>
      <c r="AP152" s="38" t="str">
        <f t="shared" ca="1" si="15"/>
        <v>&gt;50 dias</v>
      </c>
      <c r="AQ152" s="39" t="str">
        <f t="shared" ca="1" si="16"/>
        <v>Dentro</v>
      </c>
      <c r="AR152" s="39" t="str">
        <f t="shared" ca="1" si="17"/>
        <v>Não risco</v>
      </c>
      <c r="AS152" s="37" t="e">
        <f t="shared" si="18"/>
        <v>#VALUE!</v>
      </c>
      <c r="AT152" s="39">
        <f t="shared" ca="1" si="19"/>
        <v>98</v>
      </c>
      <c r="AU152" s="47" t="s">
        <v>584</v>
      </c>
      <c r="AV152" s="41">
        <f t="shared" si="20"/>
        <v>-46147</v>
      </c>
    </row>
    <row r="153" spans="1:48" x14ac:dyDescent="0.25">
      <c r="A153" t="s">
        <v>862</v>
      </c>
      <c r="B153" t="s">
        <v>53</v>
      </c>
      <c r="C153" t="s">
        <v>54</v>
      </c>
      <c r="D153" t="s">
        <v>55</v>
      </c>
      <c r="E153" s="36">
        <v>46120</v>
      </c>
      <c r="F153" t="s">
        <v>56</v>
      </c>
      <c r="G153" t="s">
        <v>111</v>
      </c>
      <c r="H153" t="s">
        <v>111</v>
      </c>
      <c r="I153" t="s">
        <v>697</v>
      </c>
      <c r="J153" t="s">
        <v>697</v>
      </c>
      <c r="K153" t="s">
        <v>697</v>
      </c>
      <c r="L153" t="s">
        <v>64</v>
      </c>
      <c r="M153" t="s">
        <v>475</v>
      </c>
      <c r="N153" t="s">
        <v>14</v>
      </c>
      <c r="O153" t="s">
        <v>475</v>
      </c>
      <c r="P153" t="s">
        <v>574</v>
      </c>
      <c r="Q153" s="36">
        <v>46147</v>
      </c>
      <c r="R153" t="s">
        <v>476</v>
      </c>
      <c r="S153" s="36">
        <v>46245</v>
      </c>
      <c r="U153" s="36">
        <v>46147</v>
      </c>
      <c r="V153" s="36">
        <v>46147</v>
      </c>
      <c r="W153" s="36">
        <v>46147</v>
      </c>
      <c r="X153" t="s">
        <v>56</v>
      </c>
      <c r="Y153" t="s">
        <v>219</v>
      </c>
      <c r="Z153" t="s">
        <v>477</v>
      </c>
      <c r="AA153" t="s">
        <v>478</v>
      </c>
      <c r="AB153" t="s">
        <v>212</v>
      </c>
      <c r="AC153" t="s">
        <v>53</v>
      </c>
      <c r="AD153" s="36">
        <v>46268</v>
      </c>
      <c r="AE153" t="s">
        <v>93</v>
      </c>
      <c r="AF153" s="36">
        <v>46245</v>
      </c>
      <c r="AG153" t="s">
        <v>114</v>
      </c>
      <c r="AH153" s="43">
        <v>100</v>
      </c>
      <c r="AI153" s="43">
        <v>100</v>
      </c>
      <c r="AJ153" s="44">
        <v>100</v>
      </c>
      <c r="AK153" t="s">
        <v>697</v>
      </c>
      <c r="AM153" t="s">
        <v>697</v>
      </c>
      <c r="AN153" s="39" t="str">
        <f>VLOOKUP(M153,[1]municipios!$B:$D,3,0)</f>
        <v>COSTA RICA</v>
      </c>
      <c r="AO153" s="37">
        <f t="shared" ca="1" si="14"/>
        <v>168</v>
      </c>
      <c r="AP153" s="38" t="str">
        <f t="shared" ca="1" si="15"/>
        <v>&gt;50 dias</v>
      </c>
      <c r="AQ153" s="39" t="str">
        <f t="shared" ca="1" si="16"/>
        <v>Dentro</v>
      </c>
      <c r="AR153" s="39" t="str">
        <f t="shared" ca="1" si="17"/>
        <v>Não risco</v>
      </c>
      <c r="AS153" s="37" t="e">
        <f t="shared" si="18"/>
        <v>#VALUE!</v>
      </c>
      <c r="AT153" s="39">
        <f t="shared" ca="1" si="19"/>
        <v>98</v>
      </c>
      <c r="AU153" s="47" t="str">
        <f>VLOOKUP(X153,'pontos focais'!C:D,2,0)</f>
        <v>DESC Agentes de Relacionamento</v>
      </c>
      <c r="AV153" s="41">
        <f t="shared" si="20"/>
        <v>0</v>
      </c>
    </row>
    <row r="154" spans="1:48" x14ac:dyDescent="0.25">
      <c r="A154" t="s">
        <v>863</v>
      </c>
      <c r="B154" t="s">
        <v>53</v>
      </c>
      <c r="C154" t="s">
        <v>43</v>
      </c>
      <c r="D154" t="s">
        <v>35</v>
      </c>
      <c r="E154" s="36">
        <v>46147</v>
      </c>
      <c r="F154" t="s">
        <v>88</v>
      </c>
      <c r="G154" t="s">
        <v>111</v>
      </c>
      <c r="H154" t="s">
        <v>111</v>
      </c>
      <c r="I154" t="s">
        <v>697</v>
      </c>
      <c r="J154" t="s">
        <v>697</v>
      </c>
      <c r="K154" t="s">
        <v>864</v>
      </c>
      <c r="L154" t="s">
        <v>39</v>
      </c>
      <c r="M154" t="s">
        <v>45</v>
      </c>
      <c r="N154" t="s">
        <v>14</v>
      </c>
      <c r="O154" t="s">
        <v>45</v>
      </c>
      <c r="P154" t="s">
        <v>555</v>
      </c>
      <c r="Q154" s="36">
        <v>46147</v>
      </c>
      <c r="R154" t="s">
        <v>479</v>
      </c>
      <c r="S154" s="36">
        <v>46197</v>
      </c>
      <c r="U154" s="36">
        <v>46150</v>
      </c>
      <c r="X154" t="s">
        <v>66</v>
      </c>
      <c r="Y154" t="s">
        <v>47</v>
      </c>
      <c r="Z154" t="s">
        <v>220</v>
      </c>
      <c r="AA154" t="s">
        <v>158</v>
      </c>
      <c r="AB154" t="s">
        <v>212</v>
      </c>
      <c r="AC154" t="s">
        <v>53</v>
      </c>
      <c r="AD154" s="36">
        <v>46268</v>
      </c>
      <c r="AE154" t="s">
        <v>93</v>
      </c>
      <c r="AF154" s="36">
        <v>46197</v>
      </c>
      <c r="AG154" t="s">
        <v>46</v>
      </c>
      <c r="AH154" s="43">
        <v>100</v>
      </c>
      <c r="AI154" s="43">
        <v>100</v>
      </c>
      <c r="AJ154" s="44">
        <v>100</v>
      </c>
      <c r="AK154" t="s">
        <v>697</v>
      </c>
      <c r="AM154" t="s">
        <v>697</v>
      </c>
      <c r="AN154" s="39" t="str">
        <f>VLOOKUP(M154,[1]municipios!$B:$D,3,0)</f>
        <v>DOURADOS</v>
      </c>
      <c r="AO154" s="37">
        <f t="shared" ca="1" si="14"/>
        <v>141</v>
      </c>
      <c r="AP154" s="38" t="str">
        <f t="shared" ca="1" si="15"/>
        <v>&gt;50 dias</v>
      </c>
      <c r="AQ154" s="39" t="str">
        <f t="shared" ca="1" si="16"/>
        <v>Fora</v>
      </c>
      <c r="AR154" s="39" t="str">
        <f t="shared" ca="1" si="17"/>
        <v>Não risco</v>
      </c>
      <c r="AS154" s="37" t="e">
        <f t="shared" si="18"/>
        <v>#VALUE!</v>
      </c>
      <c r="AT154" s="39">
        <f t="shared" ca="1" si="19"/>
        <v>50</v>
      </c>
      <c r="AU154" s="47" t="str">
        <f>VLOOKUP(X154,'pontos focais'!C:D,2,0)</f>
        <v>DCMD Orçamento e Projetos</v>
      </c>
      <c r="AV154" s="41">
        <f t="shared" si="20"/>
        <v>3</v>
      </c>
    </row>
    <row r="155" spans="1:48" x14ac:dyDescent="0.25">
      <c r="A155" t="s">
        <v>863</v>
      </c>
      <c r="B155" t="s">
        <v>53</v>
      </c>
      <c r="C155" t="s">
        <v>43</v>
      </c>
      <c r="D155" t="s">
        <v>55</v>
      </c>
      <c r="E155" s="36">
        <v>46147</v>
      </c>
      <c r="F155" t="s">
        <v>88</v>
      </c>
      <c r="G155" t="s">
        <v>111</v>
      </c>
      <c r="H155" t="s">
        <v>111</v>
      </c>
      <c r="I155" t="s">
        <v>697</v>
      </c>
      <c r="J155" t="s">
        <v>697</v>
      </c>
      <c r="K155" t="s">
        <v>697</v>
      </c>
      <c r="L155" t="s">
        <v>39</v>
      </c>
      <c r="M155" t="s">
        <v>45</v>
      </c>
      <c r="N155" t="s">
        <v>14</v>
      </c>
      <c r="O155" t="s">
        <v>45</v>
      </c>
      <c r="P155" t="s">
        <v>555</v>
      </c>
      <c r="Q155" s="36">
        <v>46195</v>
      </c>
      <c r="R155" t="s">
        <v>315</v>
      </c>
      <c r="S155" s="36">
        <v>46247</v>
      </c>
      <c r="X155" t="s">
        <v>88</v>
      </c>
      <c r="Y155" t="s">
        <v>316</v>
      </c>
      <c r="Z155" t="s">
        <v>220</v>
      </c>
      <c r="AA155" t="s">
        <v>158</v>
      </c>
      <c r="AB155" t="s">
        <v>212</v>
      </c>
      <c r="AC155" t="s">
        <v>53</v>
      </c>
      <c r="AD155" s="36">
        <v>46268</v>
      </c>
      <c r="AE155" t="s">
        <v>93</v>
      </c>
      <c r="AF155" s="36">
        <v>46247</v>
      </c>
      <c r="AG155" t="s">
        <v>155</v>
      </c>
      <c r="AH155" s="43">
        <v>100</v>
      </c>
      <c r="AI155" s="43">
        <v>100</v>
      </c>
      <c r="AJ155" s="44">
        <v>100</v>
      </c>
      <c r="AK155" t="s">
        <v>697</v>
      </c>
      <c r="AM155" t="s">
        <v>697</v>
      </c>
      <c r="AN155" s="39" t="str">
        <f>VLOOKUP(M155,[1]municipios!$B:$D,3,0)</f>
        <v>DOURADOS</v>
      </c>
      <c r="AO155" s="37">
        <f t="shared" ca="1" si="14"/>
        <v>141</v>
      </c>
      <c r="AP155" s="38" t="str">
        <f t="shared" ca="1" si="15"/>
        <v>&gt;50 dias</v>
      </c>
      <c r="AQ155" s="39" t="str">
        <f t="shared" ca="1" si="16"/>
        <v>Dentro</v>
      </c>
      <c r="AR155" s="39" t="str">
        <f t="shared" ca="1" si="17"/>
        <v>Não risco</v>
      </c>
      <c r="AS155" s="37" t="e">
        <f t="shared" si="18"/>
        <v>#VALUE!</v>
      </c>
      <c r="AT155" s="39">
        <f t="shared" ca="1" si="19"/>
        <v>52</v>
      </c>
      <c r="AU155" s="47" t="str">
        <f>VLOOKUP(X155,'pontos focais'!C:D,2,0)</f>
        <v>DESC Agentes de Relacionamento</v>
      </c>
      <c r="AV155" s="41">
        <f t="shared" si="20"/>
        <v>-46195</v>
      </c>
    </row>
    <row r="156" spans="1:48" x14ac:dyDescent="0.25">
      <c r="A156" t="s">
        <v>865</v>
      </c>
      <c r="B156" t="s">
        <v>53</v>
      </c>
      <c r="C156" t="s">
        <v>133</v>
      </c>
      <c r="D156" t="s">
        <v>55</v>
      </c>
      <c r="E156" s="36">
        <v>46117</v>
      </c>
      <c r="F156" t="s">
        <v>88</v>
      </c>
      <c r="G156" t="s">
        <v>111</v>
      </c>
      <c r="H156" t="s">
        <v>111</v>
      </c>
      <c r="I156" t="s">
        <v>697</v>
      </c>
      <c r="J156" t="s">
        <v>697</v>
      </c>
      <c r="K156" t="s">
        <v>697</v>
      </c>
      <c r="L156" t="s">
        <v>39</v>
      </c>
      <c r="M156" t="s">
        <v>264</v>
      </c>
      <c r="N156" t="s">
        <v>14</v>
      </c>
      <c r="O156" t="s">
        <v>264</v>
      </c>
      <c r="P156" t="s">
        <v>265</v>
      </c>
      <c r="Q156" s="36">
        <v>46234</v>
      </c>
      <c r="R156" t="s">
        <v>266</v>
      </c>
      <c r="S156" s="36">
        <v>46247</v>
      </c>
      <c r="T156" t="s">
        <v>615</v>
      </c>
      <c r="U156" s="36">
        <v>46241</v>
      </c>
      <c r="W156" s="36">
        <v>46247</v>
      </c>
      <c r="X156" t="s">
        <v>88</v>
      </c>
      <c r="Y156" t="s">
        <v>546</v>
      </c>
      <c r="AA156" t="s">
        <v>106</v>
      </c>
      <c r="AB156" t="s">
        <v>212</v>
      </c>
      <c r="AC156" t="s">
        <v>53</v>
      </c>
      <c r="AD156" s="36">
        <v>46268</v>
      </c>
      <c r="AE156" t="s">
        <v>93</v>
      </c>
      <c r="AF156" s="36">
        <v>46247</v>
      </c>
      <c r="AG156" t="s">
        <v>214</v>
      </c>
      <c r="AH156" s="43">
        <v>100</v>
      </c>
      <c r="AI156" s="43">
        <v>100</v>
      </c>
      <c r="AJ156" s="44">
        <v>62.5</v>
      </c>
      <c r="AK156" t="s">
        <v>697</v>
      </c>
      <c r="AM156" t="s">
        <v>697</v>
      </c>
      <c r="AN156" s="39" t="str">
        <f>VLOOKUP(M156,[1]municipios!$B:$D,3,0)</f>
        <v>DOURADOS</v>
      </c>
      <c r="AO156" s="37">
        <f t="shared" ca="1" si="14"/>
        <v>171</v>
      </c>
      <c r="AP156" s="38" t="str">
        <f t="shared" ca="1" si="15"/>
        <v>&gt;50 dias</v>
      </c>
      <c r="AQ156" s="39" t="str">
        <f t="shared" ca="1" si="16"/>
        <v>Fora</v>
      </c>
      <c r="AR156" s="39" t="str">
        <f t="shared" ca="1" si="17"/>
        <v>Não risco</v>
      </c>
      <c r="AS156" s="37" t="str">
        <f t="shared" si="18"/>
        <v>Sim</v>
      </c>
      <c r="AT156" s="39">
        <f t="shared" ca="1" si="19"/>
        <v>13</v>
      </c>
      <c r="AU156" s="47" t="str">
        <f>VLOOKUP(X156,'pontos focais'!C:D,2,0)</f>
        <v>DESC Agentes de Relacionamento</v>
      </c>
      <c r="AV156" s="41">
        <f t="shared" si="20"/>
        <v>7</v>
      </c>
    </row>
    <row r="157" spans="1:48" x14ac:dyDescent="0.25">
      <c r="A157" t="s">
        <v>866</v>
      </c>
      <c r="B157" t="s">
        <v>53</v>
      </c>
      <c r="C157" t="s">
        <v>133</v>
      </c>
      <c r="D157" t="s">
        <v>118</v>
      </c>
      <c r="E157" s="36">
        <v>46231</v>
      </c>
      <c r="F157" t="s">
        <v>56</v>
      </c>
      <c r="G157" t="s">
        <v>111</v>
      </c>
      <c r="H157" t="s">
        <v>111</v>
      </c>
      <c r="I157" t="s">
        <v>697</v>
      </c>
      <c r="J157" t="s">
        <v>697</v>
      </c>
      <c r="K157" t="s">
        <v>697</v>
      </c>
      <c r="L157" t="s">
        <v>57</v>
      </c>
      <c r="M157" t="s">
        <v>183</v>
      </c>
      <c r="N157" t="s">
        <v>14</v>
      </c>
      <c r="O157" t="s">
        <v>183</v>
      </c>
      <c r="P157" t="s">
        <v>249</v>
      </c>
      <c r="Q157" s="36">
        <v>46245</v>
      </c>
      <c r="R157" t="s">
        <v>250</v>
      </c>
      <c r="S157" s="36">
        <v>46245</v>
      </c>
      <c r="T157" t="s">
        <v>250</v>
      </c>
      <c r="W157" s="36">
        <v>46245</v>
      </c>
      <c r="X157" t="s">
        <v>71</v>
      </c>
      <c r="Y157" t="s">
        <v>70</v>
      </c>
      <c r="Z157" t="s">
        <v>251</v>
      </c>
      <c r="AA157" t="s">
        <v>252</v>
      </c>
      <c r="AB157" t="s">
        <v>212</v>
      </c>
      <c r="AC157" t="s">
        <v>53</v>
      </c>
      <c r="AD157" s="36">
        <v>46268</v>
      </c>
      <c r="AE157" t="s">
        <v>93</v>
      </c>
      <c r="AF157" s="36">
        <v>46245</v>
      </c>
      <c r="AG157" t="s">
        <v>71</v>
      </c>
      <c r="AH157" s="43">
        <v>100</v>
      </c>
      <c r="AI157" s="43">
        <v>100</v>
      </c>
      <c r="AJ157" s="44">
        <v>100</v>
      </c>
      <c r="AK157" t="s">
        <v>697</v>
      </c>
      <c r="AM157" t="s">
        <v>697</v>
      </c>
      <c r="AN157" s="39" t="str">
        <f>VLOOKUP(M157,[1]municipios!$B:$D,3,0)</f>
        <v>AQUIDAUANA</v>
      </c>
      <c r="AO157" s="37">
        <f t="shared" ca="1" si="14"/>
        <v>57</v>
      </c>
      <c r="AP157" s="38" t="str">
        <f t="shared" ca="1" si="15"/>
        <v>&gt;50 dias</v>
      </c>
      <c r="AQ157" s="39" t="str">
        <f t="shared" ca="1" si="16"/>
        <v>Dentro</v>
      </c>
      <c r="AR157" s="39" t="str">
        <f t="shared" ca="1" si="17"/>
        <v>Não risco</v>
      </c>
      <c r="AS157" s="37" t="str">
        <f t="shared" si="18"/>
        <v>Sim</v>
      </c>
      <c r="AT157" s="39">
        <f t="shared" ca="1" si="19"/>
        <v>0</v>
      </c>
      <c r="AU157" s="47" t="str">
        <f>VLOOKUP(X157,'pontos focais'!C:D,2,0)</f>
        <v>Central do Cliente</v>
      </c>
      <c r="AV157" s="41">
        <f t="shared" si="20"/>
        <v>-46245</v>
      </c>
    </row>
    <row r="158" spans="1:48" x14ac:dyDescent="0.25">
      <c r="A158" t="s">
        <v>867</v>
      </c>
      <c r="B158" t="s">
        <v>53</v>
      </c>
      <c r="C158" t="s">
        <v>133</v>
      </c>
      <c r="D158" t="s">
        <v>118</v>
      </c>
      <c r="E158" s="36">
        <v>46232</v>
      </c>
      <c r="F158" t="s">
        <v>56</v>
      </c>
      <c r="G158" t="s">
        <v>111</v>
      </c>
      <c r="H158" t="s">
        <v>111</v>
      </c>
      <c r="I158" t="s">
        <v>697</v>
      </c>
      <c r="J158" t="s">
        <v>697</v>
      </c>
      <c r="K158" t="s">
        <v>697</v>
      </c>
      <c r="L158" t="s">
        <v>64</v>
      </c>
      <c r="M158" t="s">
        <v>248</v>
      </c>
      <c r="N158" t="s">
        <v>14</v>
      </c>
      <c r="O158" t="s">
        <v>248</v>
      </c>
      <c r="P158" t="s">
        <v>253</v>
      </c>
      <c r="Q158" s="36">
        <v>46245</v>
      </c>
      <c r="R158" t="s">
        <v>254</v>
      </c>
      <c r="S158" s="36">
        <v>46245</v>
      </c>
      <c r="T158" t="s">
        <v>255</v>
      </c>
      <c r="W158" s="36">
        <v>46245</v>
      </c>
      <c r="X158" t="s">
        <v>71</v>
      </c>
      <c r="Y158" t="s">
        <v>70</v>
      </c>
      <c r="Z158" t="s">
        <v>256</v>
      </c>
      <c r="AA158" t="s">
        <v>257</v>
      </c>
      <c r="AB158" t="s">
        <v>212</v>
      </c>
      <c r="AC158" t="s">
        <v>53</v>
      </c>
      <c r="AD158" s="36">
        <v>46268</v>
      </c>
      <c r="AE158" t="s">
        <v>93</v>
      </c>
      <c r="AF158" s="36">
        <v>46245</v>
      </c>
      <c r="AG158" t="s">
        <v>71</v>
      </c>
      <c r="AH158" s="43">
        <v>100</v>
      </c>
      <c r="AI158" s="43">
        <v>100</v>
      </c>
      <c r="AJ158" s="44">
        <v>100</v>
      </c>
      <c r="AK158" t="s">
        <v>697</v>
      </c>
      <c r="AM158" t="s">
        <v>697</v>
      </c>
      <c r="AN158" s="39" t="str">
        <f>VLOOKUP(M158,[1]municipios!$B:$D,3,0)</f>
        <v>CAMPO GRANDE INTERIOR</v>
      </c>
      <c r="AO158" s="37">
        <f t="shared" ca="1" si="14"/>
        <v>56</v>
      </c>
      <c r="AP158" s="38" t="str">
        <f t="shared" ca="1" si="15"/>
        <v>&gt;50 dias</v>
      </c>
      <c r="AQ158" s="39" t="str">
        <f t="shared" ca="1" si="16"/>
        <v>Dentro</v>
      </c>
      <c r="AR158" s="39" t="str">
        <f t="shared" ca="1" si="17"/>
        <v>Não risco</v>
      </c>
      <c r="AS158" s="37" t="str">
        <f t="shared" si="18"/>
        <v>Sim</v>
      </c>
      <c r="AT158" s="39">
        <f t="shared" ca="1" si="19"/>
        <v>0</v>
      </c>
      <c r="AU158" s="47" t="str">
        <f>VLOOKUP(X158,'pontos focais'!C:D,2,0)</f>
        <v>Central do Cliente</v>
      </c>
      <c r="AV158" s="41">
        <f t="shared" si="20"/>
        <v>-46245</v>
      </c>
    </row>
    <row r="159" spans="1:48" x14ac:dyDescent="0.25">
      <c r="A159" t="s">
        <v>868</v>
      </c>
      <c r="B159" t="s">
        <v>53</v>
      </c>
      <c r="C159" t="s">
        <v>133</v>
      </c>
      <c r="D159" t="s">
        <v>118</v>
      </c>
      <c r="E159" s="36">
        <v>46237</v>
      </c>
      <c r="F159" t="s">
        <v>56</v>
      </c>
      <c r="G159" t="s">
        <v>111</v>
      </c>
      <c r="H159" t="s">
        <v>111</v>
      </c>
      <c r="I159" t="s">
        <v>697</v>
      </c>
      <c r="J159" t="s">
        <v>697</v>
      </c>
      <c r="K159" t="s">
        <v>697</v>
      </c>
      <c r="L159" t="s">
        <v>697</v>
      </c>
      <c r="M159" t="s">
        <v>936</v>
      </c>
      <c r="N159" t="s">
        <v>14</v>
      </c>
      <c r="O159" t="s">
        <v>936</v>
      </c>
      <c r="P159" t="s">
        <v>258</v>
      </c>
      <c r="Q159" s="36">
        <v>46245</v>
      </c>
      <c r="R159" t="s">
        <v>259</v>
      </c>
      <c r="S159" s="36">
        <v>46245</v>
      </c>
      <c r="W159" s="36">
        <v>46245</v>
      </c>
      <c r="X159" t="s">
        <v>71</v>
      </c>
      <c r="Y159" t="s">
        <v>70</v>
      </c>
      <c r="Z159" t="s">
        <v>260</v>
      </c>
      <c r="AA159" t="s">
        <v>56</v>
      </c>
      <c r="AB159" t="s">
        <v>212</v>
      </c>
      <c r="AC159" t="s">
        <v>53</v>
      </c>
      <c r="AD159" s="36">
        <v>46268</v>
      </c>
      <c r="AE159" t="s">
        <v>93</v>
      </c>
      <c r="AF159" s="36">
        <v>46245</v>
      </c>
      <c r="AG159" t="s">
        <v>71</v>
      </c>
      <c r="AH159" s="43">
        <v>100</v>
      </c>
      <c r="AI159" s="43">
        <v>100</v>
      </c>
      <c r="AJ159" s="44">
        <v>100</v>
      </c>
      <c r="AK159" t="s">
        <v>697</v>
      </c>
      <c r="AM159" t="s">
        <v>697</v>
      </c>
      <c r="AN159" s="39" t="str">
        <f>VLOOKUP(M159,[1]municipios!$B:$D,3,0)</f>
        <v>JARDIM</v>
      </c>
      <c r="AO159" s="37">
        <f t="shared" ca="1" si="14"/>
        <v>51</v>
      </c>
      <c r="AP159" s="38" t="str">
        <f t="shared" ca="1" si="15"/>
        <v>&gt;50 dias</v>
      </c>
      <c r="AQ159" s="39" t="str">
        <f t="shared" ca="1" si="16"/>
        <v>Dentro</v>
      </c>
      <c r="AR159" s="39" t="str">
        <f t="shared" ca="1" si="17"/>
        <v>Não risco</v>
      </c>
      <c r="AS159" s="37" t="e">
        <f t="shared" si="18"/>
        <v>#VALUE!</v>
      </c>
      <c r="AT159" s="39">
        <f t="shared" ca="1" si="19"/>
        <v>0</v>
      </c>
      <c r="AU159" s="47" t="str">
        <f>VLOOKUP(X159,'pontos focais'!C:D,2,0)</f>
        <v>Central do Cliente</v>
      </c>
      <c r="AV159" s="41">
        <f t="shared" si="20"/>
        <v>-46245</v>
      </c>
    </row>
    <row r="160" spans="1:48" x14ac:dyDescent="0.25">
      <c r="A160" t="s">
        <v>869</v>
      </c>
      <c r="B160" t="s">
        <v>53</v>
      </c>
      <c r="C160" t="s">
        <v>133</v>
      </c>
      <c r="D160" t="s">
        <v>118</v>
      </c>
      <c r="E160" s="36">
        <v>46238</v>
      </c>
      <c r="F160" t="s">
        <v>56</v>
      </c>
      <c r="G160" t="s">
        <v>111</v>
      </c>
      <c r="H160" t="s">
        <v>111</v>
      </c>
      <c r="I160" t="s">
        <v>697</v>
      </c>
      <c r="J160" t="s">
        <v>697</v>
      </c>
      <c r="K160" t="s">
        <v>697</v>
      </c>
      <c r="L160" t="s">
        <v>57</v>
      </c>
      <c r="M160" t="s">
        <v>1024</v>
      </c>
      <c r="N160" t="s">
        <v>14</v>
      </c>
      <c r="O160" t="s">
        <v>182</v>
      </c>
      <c r="P160" t="s">
        <v>261</v>
      </c>
      <c r="Q160" s="36">
        <v>46245</v>
      </c>
      <c r="R160" t="s">
        <v>262</v>
      </c>
      <c r="S160" s="36">
        <v>46252</v>
      </c>
      <c r="W160" s="36">
        <v>46245</v>
      </c>
      <c r="X160" t="s">
        <v>71</v>
      </c>
      <c r="Y160" t="s">
        <v>70</v>
      </c>
      <c r="Z160" t="s">
        <v>263</v>
      </c>
      <c r="AA160" t="s">
        <v>56</v>
      </c>
      <c r="AB160" t="s">
        <v>212</v>
      </c>
      <c r="AC160" t="s">
        <v>53</v>
      </c>
      <c r="AD160" s="36">
        <v>46268</v>
      </c>
      <c r="AE160" t="s">
        <v>93</v>
      </c>
      <c r="AF160" s="36">
        <v>46252</v>
      </c>
      <c r="AG160" t="s">
        <v>71</v>
      </c>
      <c r="AH160" s="43">
        <v>100</v>
      </c>
      <c r="AI160" s="43">
        <v>100</v>
      </c>
      <c r="AJ160" s="44">
        <v>100</v>
      </c>
      <c r="AK160" t="s">
        <v>697</v>
      </c>
      <c r="AM160" t="s">
        <v>697</v>
      </c>
      <c r="AN160" s="39" t="str">
        <f>VLOOKUP(M160,[1]municipios!$B:$D,3,0)</f>
        <v>JARDIM</v>
      </c>
      <c r="AO160" s="37">
        <f t="shared" ca="1" si="14"/>
        <v>50</v>
      </c>
      <c r="AP160" s="38" t="str">
        <f t="shared" ca="1" si="15"/>
        <v>&gt;50 dias</v>
      </c>
      <c r="AQ160" s="39" t="str">
        <f t="shared" ca="1" si="16"/>
        <v>Dentro</v>
      </c>
      <c r="AR160" s="39" t="str">
        <f t="shared" ca="1" si="17"/>
        <v>Não risco</v>
      </c>
      <c r="AS160" s="37" t="str">
        <f t="shared" si="18"/>
        <v>Sim</v>
      </c>
      <c r="AT160" s="39">
        <f t="shared" ca="1" si="19"/>
        <v>7</v>
      </c>
      <c r="AU160" s="47" t="str">
        <f>VLOOKUP(X160,'pontos focais'!C:D,2,0)</f>
        <v>Central do Cliente</v>
      </c>
      <c r="AV160" s="41">
        <f t="shared" si="20"/>
        <v>-46245</v>
      </c>
    </row>
    <row r="161" spans="1:48" x14ac:dyDescent="0.25">
      <c r="A161" t="s">
        <v>869</v>
      </c>
      <c r="B161" t="s">
        <v>53</v>
      </c>
      <c r="C161" t="s">
        <v>133</v>
      </c>
      <c r="D161" t="s">
        <v>103</v>
      </c>
      <c r="E161" s="36">
        <v>46238</v>
      </c>
      <c r="F161" t="s">
        <v>56</v>
      </c>
      <c r="G161" t="s">
        <v>111</v>
      </c>
      <c r="H161" t="s">
        <v>111</v>
      </c>
      <c r="I161" t="s">
        <v>697</v>
      </c>
      <c r="J161" t="s">
        <v>697</v>
      </c>
      <c r="K161" t="s">
        <v>697</v>
      </c>
      <c r="L161" t="s">
        <v>57</v>
      </c>
      <c r="M161" t="s">
        <v>1024</v>
      </c>
      <c r="N161" t="s">
        <v>14</v>
      </c>
      <c r="O161" t="s">
        <v>182</v>
      </c>
      <c r="P161" t="s">
        <v>261</v>
      </c>
      <c r="Q161" s="36">
        <v>46245</v>
      </c>
      <c r="S161" s="36">
        <v>46246</v>
      </c>
      <c r="T161" t="s">
        <v>262</v>
      </c>
      <c r="W161" s="36">
        <v>46245</v>
      </c>
      <c r="X161" t="s">
        <v>103</v>
      </c>
      <c r="Y161" t="s">
        <v>70</v>
      </c>
      <c r="Z161" t="s">
        <v>263</v>
      </c>
      <c r="AA161" t="s">
        <v>56</v>
      </c>
      <c r="AB161" t="s">
        <v>212</v>
      </c>
      <c r="AC161" t="s">
        <v>53</v>
      </c>
      <c r="AD161" s="36">
        <v>46268</v>
      </c>
      <c r="AE161" t="s">
        <v>93</v>
      </c>
      <c r="AF161" s="36">
        <v>46246</v>
      </c>
      <c r="AG161" t="s">
        <v>71</v>
      </c>
      <c r="AH161" s="43">
        <v>100</v>
      </c>
      <c r="AI161" s="43">
        <v>100</v>
      </c>
      <c r="AJ161" s="44">
        <v>100</v>
      </c>
      <c r="AK161" t="s">
        <v>697</v>
      </c>
      <c r="AM161" t="s">
        <v>697</v>
      </c>
      <c r="AN161" s="39" t="str">
        <f>VLOOKUP(M161,[1]municipios!$B:$D,3,0)</f>
        <v>JARDIM</v>
      </c>
      <c r="AO161" s="37">
        <f t="shared" ca="1" si="14"/>
        <v>50</v>
      </c>
      <c r="AP161" s="38" t="str">
        <f t="shared" ca="1" si="15"/>
        <v>&gt;50 dias</v>
      </c>
      <c r="AQ161" s="39" t="str">
        <f t="shared" ca="1" si="16"/>
        <v>Dentro</v>
      </c>
      <c r="AR161" s="39" t="str">
        <f t="shared" ca="1" si="17"/>
        <v>Não risco</v>
      </c>
      <c r="AS161" s="37" t="str">
        <f t="shared" si="18"/>
        <v>Sim</v>
      </c>
      <c r="AT161" s="39">
        <f t="shared" ca="1" si="19"/>
        <v>1</v>
      </c>
      <c r="AU161" s="47" t="str">
        <f>VLOOKUP(X161,'pontos focais'!C:D,2,0)</f>
        <v>Central do Cliente</v>
      </c>
      <c r="AV161" s="41">
        <f t="shared" si="20"/>
        <v>-46245</v>
      </c>
    </row>
    <row r="162" spans="1:48" s="45" customFormat="1" x14ac:dyDescent="0.25">
      <c r="A162" t="s">
        <v>869</v>
      </c>
      <c r="B162" t="s">
        <v>53</v>
      </c>
      <c r="C162" t="s">
        <v>103</v>
      </c>
      <c r="D162" t="s">
        <v>103</v>
      </c>
      <c r="E162" s="36">
        <v>46238</v>
      </c>
      <c r="F162" t="s">
        <v>56</v>
      </c>
      <c r="G162" t="s">
        <v>111</v>
      </c>
      <c r="H162" t="s">
        <v>156</v>
      </c>
      <c r="I162" t="s">
        <v>697</v>
      </c>
      <c r="J162" t="s">
        <v>697</v>
      </c>
      <c r="K162" t="s">
        <v>697</v>
      </c>
      <c r="L162" t="s">
        <v>57</v>
      </c>
      <c r="M162" t="s">
        <v>1024</v>
      </c>
      <c r="N162" t="s">
        <v>14</v>
      </c>
      <c r="O162" t="s">
        <v>182</v>
      </c>
      <c r="P162" t="s">
        <v>261</v>
      </c>
      <c r="Q162" s="36">
        <v>46245</v>
      </c>
      <c r="R162"/>
      <c r="S162"/>
      <c r="T162"/>
      <c r="U162"/>
      <c r="V162"/>
      <c r="W162"/>
      <c r="X162" t="s">
        <v>103</v>
      </c>
      <c r="Y162" t="s">
        <v>697</v>
      </c>
      <c r="Z162" t="s">
        <v>263</v>
      </c>
      <c r="AA162" t="s">
        <v>56</v>
      </c>
      <c r="AB162" t="s">
        <v>212</v>
      </c>
      <c r="AC162" t="s">
        <v>53</v>
      </c>
      <c r="AD162" s="36">
        <v>46268</v>
      </c>
      <c r="AE162" t="s">
        <v>93</v>
      </c>
      <c r="AF162" s="36">
        <v>46245</v>
      </c>
      <c r="AG162" t="s">
        <v>71</v>
      </c>
      <c r="AH162" s="43">
        <v>100</v>
      </c>
      <c r="AI162" s="43">
        <v>100</v>
      </c>
      <c r="AJ162" s="44">
        <v>50</v>
      </c>
      <c r="AK162" t="s">
        <v>697</v>
      </c>
      <c r="AL162"/>
      <c r="AM162" t="s">
        <v>697</v>
      </c>
      <c r="AN162" s="39" t="str">
        <f>VLOOKUP(M162,[1]municipios!$B:$D,3,0)</f>
        <v>JARDIM</v>
      </c>
      <c r="AO162" s="37">
        <f t="shared" ref="AO162:AO179" ca="1" si="21">TODAY()-E162</f>
        <v>50</v>
      </c>
      <c r="AP162" s="38" t="str">
        <f t="shared" ref="AP162:AP179" ca="1" si="22">IF(AO162&lt;=5,"0–5 dias",IF(AO162&lt;=15,"6–15 dias",IF(AO162&lt;=16,"16–30 dias",IF(AO162&lt;=30,"30–50 dias","&gt;50 dias"))))</f>
        <v>&gt;50 dias</v>
      </c>
      <c r="AQ162" s="39" t="str">
        <f t="shared" ref="AQ162:AQ179" ca="1" si="23">IF(U162="","Dentro",(IF(IF(W162="",TODAY(),W162)&lt;=U162,"Dentro","Fora")))</f>
        <v>Dentro</v>
      </c>
      <c r="AR162" s="39" t="str">
        <f t="shared" ref="AR162:AR179" ca="1" si="24">IF(U162="","Não risco",IF((TODAY()-U162)&lt;=7,"Risco","Não risco"))</f>
        <v>Não risco</v>
      </c>
      <c r="AS162" s="37" t="str">
        <f t="shared" ref="AS162:AS179" si="25">IF(SEARCH("integrar",P162)&gt;0,"Sim","Não")</f>
        <v>Sim</v>
      </c>
      <c r="AT162" s="39">
        <f t="shared" ref="AT162:AT179" ca="1" si="26">IF(S162="",TODAY()-Q162,S162-Q162)</f>
        <v>43</v>
      </c>
      <c r="AU162" s="47" t="str">
        <f>VLOOKUP(X162,'pontos focais'!C:D,2,0)</f>
        <v>Central do Cliente</v>
      </c>
      <c r="AV162" s="41">
        <f t="shared" ref="AV162:AV184" si="27">U162-Q162</f>
        <v>-46245</v>
      </c>
    </row>
    <row r="163" spans="1:48" x14ac:dyDescent="0.25">
      <c r="A163" t="s">
        <v>891</v>
      </c>
      <c r="B163" t="s">
        <v>53</v>
      </c>
      <c r="C163" t="s">
        <v>133</v>
      </c>
      <c r="D163" t="s">
        <v>55</v>
      </c>
      <c r="E163" s="36">
        <v>46147</v>
      </c>
      <c r="F163" t="s">
        <v>67</v>
      </c>
      <c r="G163" t="s">
        <v>111</v>
      </c>
      <c r="H163" t="s">
        <v>111</v>
      </c>
      <c r="I163" t="s">
        <v>171</v>
      </c>
      <c r="J163" t="s">
        <v>697</v>
      </c>
      <c r="K163" t="s">
        <v>697</v>
      </c>
      <c r="L163" t="s">
        <v>64</v>
      </c>
      <c r="M163" t="s">
        <v>65</v>
      </c>
      <c r="N163" t="s">
        <v>68</v>
      </c>
      <c r="O163" t="s">
        <v>65</v>
      </c>
      <c r="P163" t="s">
        <v>319</v>
      </c>
      <c r="Q163" s="36">
        <v>46154</v>
      </c>
      <c r="R163" t="s">
        <v>320</v>
      </c>
      <c r="S163" s="36">
        <v>46154</v>
      </c>
      <c r="T163" t="s">
        <v>320</v>
      </c>
      <c r="X163" t="s">
        <v>103</v>
      </c>
      <c r="Y163" t="s">
        <v>112</v>
      </c>
      <c r="Z163" t="s">
        <v>242</v>
      </c>
      <c r="AA163" t="s">
        <v>67</v>
      </c>
      <c r="AB163" t="s">
        <v>697</v>
      </c>
      <c r="AC163" t="s">
        <v>53</v>
      </c>
      <c r="AD163" s="36">
        <v>46268</v>
      </c>
      <c r="AE163" t="s">
        <v>93</v>
      </c>
      <c r="AF163" s="36">
        <v>46154</v>
      </c>
      <c r="AG163" t="s">
        <v>113</v>
      </c>
      <c r="AH163" s="43">
        <v>25</v>
      </c>
      <c r="AI163" s="43">
        <v>25</v>
      </c>
      <c r="AJ163" s="44">
        <v>12.5</v>
      </c>
      <c r="AK163" t="s">
        <v>697</v>
      </c>
      <c r="AM163" t="s">
        <v>697</v>
      </c>
      <c r="AN163" s="39" t="str">
        <f>VLOOKUP(M163,[1]municipios!$B:$D,3,0)</f>
        <v>CAMPO GRANDE</v>
      </c>
      <c r="AO163" s="37">
        <f t="shared" ca="1" si="21"/>
        <v>141</v>
      </c>
      <c r="AP163" s="38" t="str">
        <f t="shared" ca="1" si="22"/>
        <v>&gt;50 dias</v>
      </c>
      <c r="AQ163" s="39" t="str">
        <f t="shared" ca="1" si="23"/>
        <v>Dentro</v>
      </c>
      <c r="AR163" s="39" t="str">
        <f t="shared" ca="1" si="24"/>
        <v>Não risco</v>
      </c>
      <c r="AS163" s="37" t="e">
        <f t="shared" si="25"/>
        <v>#VALUE!</v>
      </c>
      <c r="AT163" s="39">
        <f t="shared" ca="1" si="26"/>
        <v>0</v>
      </c>
      <c r="AU163" s="47" t="str">
        <f>VLOOKUP(X163,'pontos focais'!C:D,2,0)</f>
        <v>Central do Cliente</v>
      </c>
      <c r="AV163" s="41">
        <f t="shared" si="27"/>
        <v>-46154</v>
      </c>
    </row>
    <row r="164" spans="1:48" x14ac:dyDescent="0.25">
      <c r="A164" t="s">
        <v>892</v>
      </c>
      <c r="B164" t="s">
        <v>53</v>
      </c>
      <c r="C164" t="s">
        <v>96</v>
      </c>
      <c r="D164" t="s">
        <v>55</v>
      </c>
      <c r="E164" s="36">
        <v>46100</v>
      </c>
      <c r="F164" t="s">
        <v>67</v>
      </c>
      <c r="G164" t="s">
        <v>111</v>
      </c>
      <c r="H164" t="s">
        <v>111</v>
      </c>
      <c r="I164" t="s">
        <v>327</v>
      </c>
      <c r="J164" t="s">
        <v>697</v>
      </c>
      <c r="K164" t="s">
        <v>697</v>
      </c>
      <c r="L164" t="s">
        <v>57</v>
      </c>
      <c r="M164" t="s">
        <v>163</v>
      </c>
      <c r="N164" t="s">
        <v>68</v>
      </c>
      <c r="O164" t="s">
        <v>163</v>
      </c>
      <c r="P164" t="s">
        <v>328</v>
      </c>
      <c r="Q164" s="36">
        <v>46154</v>
      </c>
      <c r="R164" t="s">
        <v>328</v>
      </c>
      <c r="S164" s="36">
        <v>46154</v>
      </c>
      <c r="T164" t="s">
        <v>329</v>
      </c>
      <c r="X164" t="s">
        <v>103</v>
      </c>
      <c r="Y164" t="s">
        <v>112</v>
      </c>
      <c r="AA164" t="s">
        <v>67</v>
      </c>
      <c r="AB164" t="s">
        <v>697</v>
      </c>
      <c r="AC164" t="s">
        <v>53</v>
      </c>
      <c r="AD164" s="36">
        <v>46268</v>
      </c>
      <c r="AE164" t="s">
        <v>93</v>
      </c>
      <c r="AF164" s="36">
        <v>46154</v>
      </c>
      <c r="AG164" t="s">
        <v>113</v>
      </c>
      <c r="AH164" s="43">
        <v>25</v>
      </c>
      <c r="AI164" s="43">
        <v>25</v>
      </c>
      <c r="AJ164" s="44">
        <v>12.5</v>
      </c>
      <c r="AK164" t="s">
        <v>697</v>
      </c>
      <c r="AM164" t="s">
        <v>697</v>
      </c>
      <c r="AN164" s="39" t="str">
        <f>VLOOKUP(M164,[1]municipios!$B:$D,3,0)</f>
        <v>CORUMBA</v>
      </c>
      <c r="AO164" s="37">
        <f t="shared" ca="1" si="21"/>
        <v>188</v>
      </c>
      <c r="AP164" s="38" t="str">
        <f t="shared" ca="1" si="22"/>
        <v>&gt;50 dias</v>
      </c>
      <c r="AQ164" s="39" t="str">
        <f t="shared" ca="1" si="23"/>
        <v>Dentro</v>
      </c>
      <c r="AR164" s="39" t="str">
        <f t="shared" ca="1" si="24"/>
        <v>Não risco</v>
      </c>
      <c r="AS164" s="37" t="e">
        <f t="shared" si="25"/>
        <v>#VALUE!</v>
      </c>
      <c r="AT164" s="39">
        <f t="shared" ca="1" si="26"/>
        <v>0</v>
      </c>
      <c r="AU164" s="47" t="str">
        <f>VLOOKUP(X164,'pontos focais'!C:D,2,0)</f>
        <v>Central do Cliente</v>
      </c>
      <c r="AV164" s="41">
        <f t="shared" si="27"/>
        <v>-46154</v>
      </c>
    </row>
    <row r="165" spans="1:48" x14ac:dyDescent="0.25">
      <c r="A165" t="s">
        <v>893</v>
      </c>
      <c r="B165" t="s">
        <v>53</v>
      </c>
      <c r="C165" t="s">
        <v>74</v>
      </c>
      <c r="D165" t="s">
        <v>118</v>
      </c>
      <c r="E165" s="36">
        <v>46098</v>
      </c>
      <c r="F165" t="s">
        <v>67</v>
      </c>
      <c r="G165" t="s">
        <v>111</v>
      </c>
      <c r="H165" t="s">
        <v>111</v>
      </c>
      <c r="I165" t="s">
        <v>330</v>
      </c>
      <c r="J165" t="s">
        <v>697</v>
      </c>
      <c r="K165" t="s">
        <v>697</v>
      </c>
      <c r="L165" t="s">
        <v>39</v>
      </c>
      <c r="M165" t="s">
        <v>125</v>
      </c>
      <c r="N165" t="s">
        <v>68</v>
      </c>
      <c r="O165" t="s">
        <v>125</v>
      </c>
      <c r="P165" t="s">
        <v>331</v>
      </c>
      <c r="Q165" s="36">
        <v>46155</v>
      </c>
      <c r="R165" t="s">
        <v>332</v>
      </c>
      <c r="X165" t="s">
        <v>67</v>
      </c>
      <c r="Y165" t="s">
        <v>697</v>
      </c>
      <c r="Z165" t="s">
        <v>333</v>
      </c>
      <c r="AA165" t="s">
        <v>67</v>
      </c>
      <c r="AB165" t="s">
        <v>697</v>
      </c>
      <c r="AC165" t="s">
        <v>53</v>
      </c>
      <c r="AD165" s="36">
        <v>46249</v>
      </c>
      <c r="AE165" t="s">
        <v>93</v>
      </c>
      <c r="AF165" s="36">
        <v>46155</v>
      </c>
      <c r="AG165" t="s">
        <v>113</v>
      </c>
      <c r="AH165" s="43">
        <v>25</v>
      </c>
      <c r="AI165" s="43">
        <v>25</v>
      </c>
      <c r="AJ165" s="44">
        <v>12.5</v>
      </c>
      <c r="AK165" t="s">
        <v>697</v>
      </c>
      <c r="AM165" t="s">
        <v>697</v>
      </c>
      <c r="AN165" s="39" t="str">
        <f>VLOOKUP(M165,[1]municipios!$B:$D,3,0)</f>
        <v>PONTA PORA</v>
      </c>
      <c r="AO165" s="37">
        <f t="shared" ca="1" si="21"/>
        <v>190</v>
      </c>
      <c r="AP165" s="38" t="str">
        <f t="shared" ca="1" si="22"/>
        <v>&gt;50 dias</v>
      </c>
      <c r="AQ165" s="39" t="str">
        <f t="shared" ca="1" si="23"/>
        <v>Dentro</v>
      </c>
      <c r="AR165" s="39" t="str">
        <f t="shared" ca="1" si="24"/>
        <v>Não risco</v>
      </c>
      <c r="AS165" s="37" t="e">
        <f t="shared" si="25"/>
        <v>#VALUE!</v>
      </c>
      <c r="AT165" s="39">
        <f t="shared" ca="1" si="26"/>
        <v>133</v>
      </c>
      <c r="AU165" s="47" t="s">
        <v>584</v>
      </c>
      <c r="AV165" s="41">
        <f t="shared" si="27"/>
        <v>-46155</v>
      </c>
    </row>
    <row r="166" spans="1:48" x14ac:dyDescent="0.25">
      <c r="A166" t="s">
        <v>894</v>
      </c>
      <c r="B166" t="s">
        <v>53</v>
      </c>
      <c r="C166" t="s">
        <v>43</v>
      </c>
      <c r="D166" t="s">
        <v>118</v>
      </c>
      <c r="E166" s="36">
        <v>46120</v>
      </c>
      <c r="F166" t="s">
        <v>113</v>
      </c>
      <c r="G166" t="s">
        <v>111</v>
      </c>
      <c r="H166" t="s">
        <v>111</v>
      </c>
      <c r="I166" t="s">
        <v>697</v>
      </c>
      <c r="J166" t="s">
        <v>697</v>
      </c>
      <c r="K166" t="s">
        <v>895</v>
      </c>
      <c r="L166" t="s">
        <v>64</v>
      </c>
      <c r="M166" t="s">
        <v>65</v>
      </c>
      <c r="N166" t="s">
        <v>14</v>
      </c>
      <c r="O166" t="s">
        <v>65</v>
      </c>
      <c r="P166" t="s">
        <v>336</v>
      </c>
      <c r="Q166" s="36">
        <v>46153</v>
      </c>
      <c r="R166" t="s">
        <v>337</v>
      </c>
      <c r="S166" s="36">
        <v>46197</v>
      </c>
      <c r="T166" t="s">
        <v>895</v>
      </c>
      <c r="U166" s="36">
        <v>46146</v>
      </c>
      <c r="W166" s="36">
        <v>46146</v>
      </c>
      <c r="X166" t="s">
        <v>113</v>
      </c>
      <c r="Y166" t="s">
        <v>82</v>
      </c>
      <c r="AA166" t="s">
        <v>113</v>
      </c>
      <c r="AB166" t="s">
        <v>697</v>
      </c>
      <c r="AC166" t="s">
        <v>53</v>
      </c>
      <c r="AD166" s="36">
        <v>46268</v>
      </c>
      <c r="AE166" t="s">
        <v>93</v>
      </c>
      <c r="AF166" s="36">
        <v>46197</v>
      </c>
      <c r="AG166" t="s">
        <v>83</v>
      </c>
      <c r="AH166" s="43">
        <v>100</v>
      </c>
      <c r="AI166" s="43">
        <v>100</v>
      </c>
      <c r="AJ166" s="44">
        <v>100</v>
      </c>
      <c r="AK166" t="s">
        <v>697</v>
      </c>
      <c r="AM166" t="s">
        <v>697</v>
      </c>
      <c r="AN166" s="39" t="str">
        <f>VLOOKUP(M166,[1]municipios!$B:$D,3,0)</f>
        <v>CAMPO GRANDE</v>
      </c>
      <c r="AO166" s="37">
        <f t="shared" ca="1" si="21"/>
        <v>168</v>
      </c>
      <c r="AP166" s="38" t="str">
        <f t="shared" ca="1" si="22"/>
        <v>&gt;50 dias</v>
      </c>
      <c r="AQ166" s="39" t="str">
        <f t="shared" ca="1" si="23"/>
        <v>Dentro</v>
      </c>
      <c r="AR166" s="39" t="str">
        <f t="shared" ca="1" si="24"/>
        <v>Não risco</v>
      </c>
      <c r="AS166" s="37" t="e">
        <f t="shared" si="25"/>
        <v>#VALUE!</v>
      </c>
      <c r="AT166" s="39">
        <f t="shared" ca="1" si="26"/>
        <v>44</v>
      </c>
      <c r="AU166" s="47" t="s">
        <v>584</v>
      </c>
      <c r="AV166" s="41">
        <f t="shared" si="27"/>
        <v>-7</v>
      </c>
    </row>
    <row r="167" spans="1:48" x14ac:dyDescent="0.25">
      <c r="A167" t="s">
        <v>896</v>
      </c>
      <c r="B167" t="s">
        <v>53</v>
      </c>
      <c r="C167" t="s">
        <v>54</v>
      </c>
      <c r="D167" t="s">
        <v>118</v>
      </c>
      <c r="E167" s="36">
        <v>46125</v>
      </c>
      <c r="F167" t="s">
        <v>155</v>
      </c>
      <c r="G167" t="s">
        <v>111</v>
      </c>
      <c r="H167" t="s">
        <v>111</v>
      </c>
      <c r="I167" t="s">
        <v>338</v>
      </c>
      <c r="J167" t="s">
        <v>697</v>
      </c>
      <c r="K167" t="s">
        <v>697</v>
      </c>
      <c r="L167" t="s">
        <v>64</v>
      </c>
      <c r="M167" t="s">
        <v>339</v>
      </c>
      <c r="N167" t="s">
        <v>14</v>
      </c>
      <c r="O167" t="s">
        <v>339</v>
      </c>
      <c r="P167" t="s">
        <v>340</v>
      </c>
      <c r="Q167" s="36">
        <v>46195</v>
      </c>
      <c r="R167" t="s">
        <v>341</v>
      </c>
      <c r="X167" t="s">
        <v>113</v>
      </c>
      <c r="Y167" t="s">
        <v>697</v>
      </c>
      <c r="AA167" t="s">
        <v>155</v>
      </c>
      <c r="AB167" t="s">
        <v>697</v>
      </c>
      <c r="AC167" t="s">
        <v>53</v>
      </c>
      <c r="AD167" s="36">
        <v>46268</v>
      </c>
      <c r="AE167" t="s">
        <v>93</v>
      </c>
      <c r="AF167" s="36">
        <v>46195</v>
      </c>
      <c r="AG167" t="s">
        <v>113</v>
      </c>
      <c r="AH167" s="43">
        <v>100</v>
      </c>
      <c r="AI167" s="43">
        <v>100</v>
      </c>
      <c r="AJ167" s="44">
        <v>50</v>
      </c>
      <c r="AK167" t="s">
        <v>697</v>
      </c>
      <c r="AM167" t="s">
        <v>697</v>
      </c>
      <c r="AN167" s="39" t="str">
        <f>VLOOKUP(M167,[1]municipios!$B:$D,3,0)</f>
        <v>COSTA RICA</v>
      </c>
      <c r="AO167" s="37">
        <f t="shared" ca="1" si="21"/>
        <v>163</v>
      </c>
      <c r="AP167" s="38" t="str">
        <f t="shared" ca="1" si="22"/>
        <v>&gt;50 dias</v>
      </c>
      <c r="AQ167" s="39" t="str">
        <f t="shared" ca="1" si="23"/>
        <v>Dentro</v>
      </c>
      <c r="AR167" s="39" t="str">
        <f t="shared" ca="1" si="24"/>
        <v>Não risco</v>
      </c>
      <c r="AS167" s="37" t="e">
        <f t="shared" si="25"/>
        <v>#VALUE!</v>
      </c>
      <c r="AT167" s="39">
        <f t="shared" ca="1" si="26"/>
        <v>93</v>
      </c>
      <c r="AU167" s="47" t="str">
        <f>VLOOKUP(X167,'pontos focais'!C:D,2,0)</f>
        <v>Central do Cliente</v>
      </c>
      <c r="AV167" s="41">
        <f t="shared" si="27"/>
        <v>-46195</v>
      </c>
    </row>
    <row r="168" spans="1:48" x14ac:dyDescent="0.25">
      <c r="A168" t="s">
        <v>896</v>
      </c>
      <c r="B168" t="s">
        <v>53</v>
      </c>
      <c r="C168" t="s">
        <v>54</v>
      </c>
      <c r="D168" t="s">
        <v>35</v>
      </c>
      <c r="E168" s="36">
        <v>46125</v>
      </c>
      <c r="F168" t="s">
        <v>155</v>
      </c>
      <c r="G168" t="s">
        <v>111</v>
      </c>
      <c r="H168" t="s">
        <v>111</v>
      </c>
      <c r="I168" t="s">
        <v>697</v>
      </c>
      <c r="J168" t="s">
        <v>697</v>
      </c>
      <c r="K168" t="s">
        <v>897</v>
      </c>
      <c r="L168" t="s">
        <v>64</v>
      </c>
      <c r="M168" t="s">
        <v>339</v>
      </c>
      <c r="N168" t="s">
        <v>14</v>
      </c>
      <c r="O168" t="s">
        <v>339</v>
      </c>
      <c r="P168" t="s">
        <v>340</v>
      </c>
      <c r="Q168" s="36">
        <v>46153</v>
      </c>
      <c r="R168" t="s">
        <v>340</v>
      </c>
      <c r="S168" s="36">
        <v>46247</v>
      </c>
      <c r="U168" s="36">
        <v>46143</v>
      </c>
      <c r="W168" s="36">
        <v>46181</v>
      </c>
      <c r="X168" t="s">
        <v>69</v>
      </c>
      <c r="Y168" t="s">
        <v>316</v>
      </c>
      <c r="AA168" t="s">
        <v>155</v>
      </c>
      <c r="AB168" t="s">
        <v>697</v>
      </c>
      <c r="AC168" t="s">
        <v>53</v>
      </c>
      <c r="AD168" s="36">
        <v>46268</v>
      </c>
      <c r="AE168" t="s">
        <v>93</v>
      </c>
      <c r="AF168" s="36">
        <v>46247</v>
      </c>
      <c r="AG168" t="s">
        <v>155</v>
      </c>
      <c r="AH168" s="43">
        <v>100</v>
      </c>
      <c r="AI168" s="43">
        <v>100</v>
      </c>
      <c r="AJ168" s="44">
        <v>100</v>
      </c>
      <c r="AK168" t="s">
        <v>697</v>
      </c>
      <c r="AM168" t="s">
        <v>697</v>
      </c>
      <c r="AN168" s="39" t="str">
        <f>VLOOKUP(M168,[1]municipios!$B:$D,3,0)</f>
        <v>COSTA RICA</v>
      </c>
      <c r="AO168" s="37">
        <f t="shared" ca="1" si="21"/>
        <v>163</v>
      </c>
      <c r="AP168" s="38" t="str">
        <f t="shared" ca="1" si="22"/>
        <v>&gt;50 dias</v>
      </c>
      <c r="AQ168" s="39" t="str">
        <f t="shared" ca="1" si="23"/>
        <v>Fora</v>
      </c>
      <c r="AR168" s="39" t="str">
        <f t="shared" ca="1" si="24"/>
        <v>Não risco</v>
      </c>
      <c r="AS168" s="37" t="e">
        <f t="shared" si="25"/>
        <v>#VALUE!</v>
      </c>
      <c r="AT168" s="39">
        <f t="shared" ca="1" si="26"/>
        <v>94</v>
      </c>
      <c r="AU168" s="47" t="str">
        <f>VLOOKUP(X168,'pontos focais'!C:D,2,0)</f>
        <v>DCMD Programação de Obra</v>
      </c>
      <c r="AV168" s="41">
        <f t="shared" si="27"/>
        <v>-10</v>
      </c>
    </row>
    <row r="169" spans="1:48" x14ac:dyDescent="0.25">
      <c r="A169" t="s">
        <v>898</v>
      </c>
      <c r="B169" t="s">
        <v>53</v>
      </c>
      <c r="C169" t="s">
        <v>43</v>
      </c>
      <c r="D169" t="s">
        <v>118</v>
      </c>
      <c r="E169" s="36">
        <v>46154</v>
      </c>
      <c r="F169" t="s">
        <v>67</v>
      </c>
      <c r="G169" t="s">
        <v>111</v>
      </c>
      <c r="H169" t="s">
        <v>111</v>
      </c>
      <c r="I169" t="s">
        <v>171</v>
      </c>
      <c r="J169" t="s">
        <v>697</v>
      </c>
      <c r="K169" t="s">
        <v>697</v>
      </c>
      <c r="L169" t="s">
        <v>64</v>
      </c>
      <c r="M169" t="s">
        <v>65</v>
      </c>
      <c r="N169" t="s">
        <v>68</v>
      </c>
      <c r="O169" t="s">
        <v>65</v>
      </c>
      <c r="P169" t="s">
        <v>344</v>
      </c>
      <c r="Q169" s="36">
        <v>46155</v>
      </c>
      <c r="R169" t="s">
        <v>345</v>
      </c>
      <c r="S169" s="36">
        <v>46195</v>
      </c>
      <c r="U169" s="36">
        <v>46189</v>
      </c>
      <c r="W169" s="36">
        <v>46187</v>
      </c>
      <c r="X169" t="s">
        <v>67</v>
      </c>
      <c r="Y169" t="s">
        <v>82</v>
      </c>
      <c r="Z169" t="s">
        <v>346</v>
      </c>
      <c r="AA169" t="s">
        <v>67</v>
      </c>
      <c r="AB169" t="s">
        <v>697</v>
      </c>
      <c r="AC169" t="s">
        <v>53</v>
      </c>
      <c r="AD169" s="36">
        <v>46268</v>
      </c>
      <c r="AE169" t="s">
        <v>93</v>
      </c>
      <c r="AF169" s="36">
        <v>46195</v>
      </c>
      <c r="AG169" t="s">
        <v>83</v>
      </c>
      <c r="AH169" s="43">
        <v>25</v>
      </c>
      <c r="AI169" s="43">
        <v>25</v>
      </c>
      <c r="AJ169" s="44">
        <v>25</v>
      </c>
      <c r="AK169" t="s">
        <v>697</v>
      </c>
      <c r="AM169" t="s">
        <v>697</v>
      </c>
      <c r="AN169" s="39" t="str">
        <f>VLOOKUP(M169,[1]municipios!$B:$D,3,0)</f>
        <v>CAMPO GRANDE</v>
      </c>
      <c r="AO169" s="37">
        <f t="shared" ca="1" si="21"/>
        <v>134</v>
      </c>
      <c r="AP169" s="38" t="str">
        <f t="shared" ca="1" si="22"/>
        <v>&gt;50 dias</v>
      </c>
      <c r="AQ169" s="39" t="str">
        <f t="shared" ca="1" si="23"/>
        <v>Dentro</v>
      </c>
      <c r="AR169" s="39" t="str">
        <f t="shared" ca="1" si="24"/>
        <v>Não risco</v>
      </c>
      <c r="AS169" s="37" t="e">
        <f t="shared" si="25"/>
        <v>#VALUE!</v>
      </c>
      <c r="AT169" s="39">
        <f t="shared" ca="1" si="26"/>
        <v>40</v>
      </c>
      <c r="AU169" s="47" t="str">
        <f>VLOOKUP(X169,'pontos focais'!C:D,2,0)</f>
        <v>Institucional</v>
      </c>
      <c r="AV169" s="41">
        <f t="shared" si="27"/>
        <v>34</v>
      </c>
    </row>
    <row r="170" spans="1:48" x14ac:dyDescent="0.25">
      <c r="A170" t="s">
        <v>899</v>
      </c>
      <c r="B170" t="s">
        <v>53</v>
      </c>
      <c r="C170" t="s">
        <v>43</v>
      </c>
      <c r="D170" t="s">
        <v>35</v>
      </c>
      <c r="E170" s="36">
        <v>46155</v>
      </c>
      <c r="F170" t="s">
        <v>113</v>
      </c>
      <c r="G170" t="s">
        <v>111</v>
      </c>
      <c r="H170" t="s">
        <v>111</v>
      </c>
      <c r="I170" t="s">
        <v>221</v>
      </c>
      <c r="J170" t="s">
        <v>697</v>
      </c>
      <c r="K170" t="s">
        <v>900</v>
      </c>
      <c r="L170" t="s">
        <v>39</v>
      </c>
      <c r="M170" t="s">
        <v>45</v>
      </c>
      <c r="N170" t="s">
        <v>14</v>
      </c>
      <c r="O170" t="s">
        <v>45</v>
      </c>
      <c r="P170" t="s">
        <v>352</v>
      </c>
      <c r="Q170" s="36">
        <v>46155</v>
      </c>
      <c r="R170" t="s">
        <v>353</v>
      </c>
      <c r="S170" s="36">
        <v>46184</v>
      </c>
      <c r="T170" t="s">
        <v>354</v>
      </c>
      <c r="U170" s="36">
        <v>46173</v>
      </c>
      <c r="V170" s="36">
        <v>46158</v>
      </c>
      <c r="W170" s="36">
        <v>46158</v>
      </c>
      <c r="X170" t="s">
        <v>69</v>
      </c>
      <c r="Y170" t="s">
        <v>223</v>
      </c>
      <c r="Z170" t="s">
        <v>220</v>
      </c>
      <c r="AA170" t="s">
        <v>113</v>
      </c>
      <c r="AB170" t="s">
        <v>697</v>
      </c>
      <c r="AC170" t="s">
        <v>53</v>
      </c>
      <c r="AD170" s="36">
        <v>46268</v>
      </c>
      <c r="AE170" t="s">
        <v>93</v>
      </c>
      <c r="AF170" s="36">
        <v>46184</v>
      </c>
      <c r="AG170" t="s">
        <v>69</v>
      </c>
      <c r="AH170" s="43">
        <v>100</v>
      </c>
      <c r="AI170" s="43">
        <v>100</v>
      </c>
      <c r="AJ170" s="44">
        <v>50</v>
      </c>
      <c r="AK170" t="s">
        <v>697</v>
      </c>
      <c r="AM170" t="s">
        <v>697</v>
      </c>
      <c r="AN170" s="39" t="str">
        <f>VLOOKUP(M170,[1]municipios!$B:$D,3,0)</f>
        <v>DOURADOS</v>
      </c>
      <c r="AO170" s="37">
        <f t="shared" ca="1" si="21"/>
        <v>133</v>
      </c>
      <c r="AP170" s="38" t="str">
        <f t="shared" ca="1" si="22"/>
        <v>&gt;50 dias</v>
      </c>
      <c r="AQ170" s="39" t="str">
        <f t="shared" ca="1" si="23"/>
        <v>Dentro</v>
      </c>
      <c r="AR170" s="39" t="str">
        <f t="shared" ca="1" si="24"/>
        <v>Não risco</v>
      </c>
      <c r="AS170" s="37" t="e">
        <f t="shared" si="25"/>
        <v>#VALUE!</v>
      </c>
      <c r="AT170" s="39">
        <f t="shared" ca="1" si="26"/>
        <v>29</v>
      </c>
      <c r="AU170" s="47" t="str">
        <f>VLOOKUP(X170,'pontos focais'!C:D,2,0)</f>
        <v>DCMD Programação de Obra</v>
      </c>
      <c r="AV170" s="41">
        <f t="shared" si="27"/>
        <v>18</v>
      </c>
    </row>
    <row r="171" spans="1:48" x14ac:dyDescent="0.25">
      <c r="A171" t="s">
        <v>901</v>
      </c>
      <c r="B171" t="s">
        <v>53</v>
      </c>
      <c r="C171" t="s">
        <v>43</v>
      </c>
      <c r="D171" t="s">
        <v>35</v>
      </c>
      <c r="E171" s="36">
        <v>46155</v>
      </c>
      <c r="F171" t="s">
        <v>113</v>
      </c>
      <c r="G171" t="s">
        <v>111</v>
      </c>
      <c r="H171" t="s">
        <v>111</v>
      </c>
      <c r="I171" t="s">
        <v>697</v>
      </c>
      <c r="J171" t="s">
        <v>697</v>
      </c>
      <c r="K171" t="s">
        <v>902</v>
      </c>
      <c r="L171" t="s">
        <v>39</v>
      </c>
      <c r="M171" t="s">
        <v>45</v>
      </c>
      <c r="N171" t="s">
        <v>14</v>
      </c>
      <c r="O171" t="s">
        <v>45</v>
      </c>
      <c r="P171" t="s">
        <v>355</v>
      </c>
      <c r="Q171" s="36">
        <v>46155</v>
      </c>
      <c r="R171" t="s">
        <v>356</v>
      </c>
      <c r="S171" s="36">
        <v>46247</v>
      </c>
      <c r="U171" s="36">
        <v>46173</v>
      </c>
      <c r="V171" s="36">
        <v>46160</v>
      </c>
      <c r="X171" t="s">
        <v>69</v>
      </c>
      <c r="Y171" t="s">
        <v>316</v>
      </c>
      <c r="Z171" t="s">
        <v>220</v>
      </c>
      <c r="AA171" t="s">
        <v>113</v>
      </c>
      <c r="AB171" t="s">
        <v>697</v>
      </c>
      <c r="AC171" t="s">
        <v>53</v>
      </c>
      <c r="AD171" s="36">
        <v>46268</v>
      </c>
      <c r="AE171" t="s">
        <v>93</v>
      </c>
      <c r="AF171" s="36">
        <v>46247</v>
      </c>
      <c r="AG171" t="s">
        <v>155</v>
      </c>
      <c r="AH171" s="43">
        <v>100</v>
      </c>
      <c r="AI171" s="43">
        <v>100</v>
      </c>
      <c r="AJ171" s="44">
        <v>100</v>
      </c>
      <c r="AK171" t="s">
        <v>697</v>
      </c>
      <c r="AM171" t="s">
        <v>697</v>
      </c>
      <c r="AN171" s="39" t="str">
        <f>VLOOKUP(M171,[1]municipios!$B:$D,3,0)</f>
        <v>DOURADOS</v>
      </c>
      <c r="AO171" s="37">
        <f t="shared" ca="1" si="21"/>
        <v>133</v>
      </c>
      <c r="AP171" s="38" t="str">
        <f t="shared" ca="1" si="22"/>
        <v>&gt;50 dias</v>
      </c>
      <c r="AQ171" s="39" t="str">
        <f t="shared" ca="1" si="23"/>
        <v>Fora</v>
      </c>
      <c r="AR171" s="39" t="str">
        <f t="shared" ca="1" si="24"/>
        <v>Não risco</v>
      </c>
      <c r="AS171" s="37" t="e">
        <f t="shared" si="25"/>
        <v>#VALUE!</v>
      </c>
      <c r="AT171" s="39">
        <f t="shared" ca="1" si="26"/>
        <v>92</v>
      </c>
      <c r="AU171" s="47" t="str">
        <f>VLOOKUP(X171,'pontos focais'!C:D,2,0)</f>
        <v>DCMD Programação de Obra</v>
      </c>
      <c r="AV171" s="41">
        <f t="shared" si="27"/>
        <v>18</v>
      </c>
    </row>
    <row r="172" spans="1:48" x14ac:dyDescent="0.25">
      <c r="A172" t="s">
        <v>903</v>
      </c>
      <c r="B172" t="s">
        <v>53</v>
      </c>
      <c r="C172" t="s">
        <v>54</v>
      </c>
      <c r="D172" t="s">
        <v>203</v>
      </c>
      <c r="E172" s="36">
        <v>46076</v>
      </c>
      <c r="F172" t="s">
        <v>88</v>
      </c>
      <c r="G172" t="s">
        <v>111</v>
      </c>
      <c r="H172" t="s">
        <v>111</v>
      </c>
      <c r="I172" t="s">
        <v>267</v>
      </c>
      <c r="J172" t="s">
        <v>697</v>
      </c>
      <c r="K172" t="s">
        <v>697</v>
      </c>
      <c r="L172" t="s">
        <v>39</v>
      </c>
      <c r="M172" t="s">
        <v>268</v>
      </c>
      <c r="N172" t="s">
        <v>14</v>
      </c>
      <c r="O172" t="s">
        <v>268</v>
      </c>
      <c r="P172" t="s">
        <v>347</v>
      </c>
      <c r="Q172" s="36">
        <v>46160</v>
      </c>
      <c r="R172" t="s">
        <v>364</v>
      </c>
      <c r="X172" t="s">
        <v>88</v>
      </c>
      <c r="Y172" t="s">
        <v>697</v>
      </c>
      <c r="Z172" t="s">
        <v>365</v>
      </c>
      <c r="AA172" t="s">
        <v>366</v>
      </c>
      <c r="AB172" t="s">
        <v>697</v>
      </c>
      <c r="AC172" t="s">
        <v>53</v>
      </c>
      <c r="AD172" s="36">
        <v>46249</v>
      </c>
      <c r="AE172" t="s">
        <v>93</v>
      </c>
      <c r="AF172" s="36">
        <v>46160</v>
      </c>
      <c r="AG172" t="s">
        <v>113</v>
      </c>
      <c r="AH172" s="43">
        <v>100</v>
      </c>
      <c r="AI172" s="43">
        <v>100</v>
      </c>
      <c r="AJ172" s="44">
        <v>50</v>
      </c>
      <c r="AK172" t="s">
        <v>697</v>
      </c>
      <c r="AM172" t="s">
        <v>697</v>
      </c>
      <c r="AN172" s="39" t="str">
        <f>VLOOKUP(M172,[1]municipios!$B:$D,3,0)</f>
        <v>NOVA ANDRADINA</v>
      </c>
      <c r="AO172" s="37">
        <f t="shared" ca="1" si="21"/>
        <v>212</v>
      </c>
      <c r="AP172" s="38" t="str">
        <f t="shared" ca="1" si="22"/>
        <v>&gt;50 dias</v>
      </c>
      <c r="AQ172" s="39" t="str">
        <f t="shared" ca="1" si="23"/>
        <v>Dentro</v>
      </c>
      <c r="AR172" s="39" t="str">
        <f t="shared" ca="1" si="24"/>
        <v>Não risco</v>
      </c>
      <c r="AS172" s="37" t="str">
        <f t="shared" si="25"/>
        <v>Sim</v>
      </c>
      <c r="AT172" s="39">
        <f t="shared" ca="1" si="26"/>
        <v>128</v>
      </c>
      <c r="AU172" s="47" t="str">
        <f>VLOOKUP(X172,'pontos focais'!C:D,2,0)</f>
        <v>DESC Agentes de Relacionamento</v>
      </c>
      <c r="AV172" s="41">
        <f t="shared" si="27"/>
        <v>-46160</v>
      </c>
    </row>
    <row r="173" spans="1:48" x14ac:dyDescent="0.25">
      <c r="A173" t="s">
        <v>903</v>
      </c>
      <c r="B173" t="s">
        <v>53</v>
      </c>
      <c r="C173" t="s">
        <v>54</v>
      </c>
      <c r="D173" t="s">
        <v>55</v>
      </c>
      <c r="E173" s="36">
        <v>46076</v>
      </c>
      <c r="F173" t="s">
        <v>88</v>
      </c>
      <c r="G173" t="s">
        <v>111</v>
      </c>
      <c r="H173" t="s">
        <v>111</v>
      </c>
      <c r="I173" t="s">
        <v>267</v>
      </c>
      <c r="J173" t="s">
        <v>697</v>
      </c>
      <c r="K173" t="s">
        <v>697</v>
      </c>
      <c r="L173" t="s">
        <v>39</v>
      </c>
      <c r="M173" t="s">
        <v>268</v>
      </c>
      <c r="N173" t="s">
        <v>14</v>
      </c>
      <c r="O173" t="s">
        <v>268</v>
      </c>
      <c r="P173" t="s">
        <v>347</v>
      </c>
      <c r="Q173" s="36">
        <v>46160</v>
      </c>
      <c r="R173" t="s">
        <v>367</v>
      </c>
      <c r="X173" t="s">
        <v>88</v>
      </c>
      <c r="Y173" t="s">
        <v>697</v>
      </c>
      <c r="Z173" t="s">
        <v>365</v>
      </c>
      <c r="AA173" t="s">
        <v>366</v>
      </c>
      <c r="AB173" t="s">
        <v>697</v>
      </c>
      <c r="AC173" t="s">
        <v>53</v>
      </c>
      <c r="AD173" s="36">
        <v>46249</v>
      </c>
      <c r="AE173" t="s">
        <v>93</v>
      </c>
      <c r="AF173" s="36">
        <v>46160</v>
      </c>
      <c r="AG173" t="s">
        <v>113</v>
      </c>
      <c r="AH173" s="43">
        <v>100</v>
      </c>
      <c r="AI173" s="43">
        <v>100</v>
      </c>
      <c r="AJ173" s="44">
        <v>50</v>
      </c>
      <c r="AK173" t="s">
        <v>697</v>
      </c>
      <c r="AM173" t="s">
        <v>697</v>
      </c>
      <c r="AN173" s="39" t="str">
        <f>VLOOKUP(M173,[1]municipios!$B:$D,3,0)</f>
        <v>NOVA ANDRADINA</v>
      </c>
      <c r="AO173" s="37">
        <f t="shared" ca="1" si="21"/>
        <v>212</v>
      </c>
      <c r="AP173" s="38" t="str">
        <f t="shared" ca="1" si="22"/>
        <v>&gt;50 dias</v>
      </c>
      <c r="AQ173" s="39" t="str">
        <f t="shared" ca="1" si="23"/>
        <v>Dentro</v>
      </c>
      <c r="AR173" s="39" t="str">
        <f t="shared" ca="1" si="24"/>
        <v>Não risco</v>
      </c>
      <c r="AS173" s="37" t="str">
        <f t="shared" si="25"/>
        <v>Sim</v>
      </c>
      <c r="AT173" s="39">
        <f t="shared" ca="1" si="26"/>
        <v>128</v>
      </c>
      <c r="AU173" s="47" t="str">
        <f>VLOOKUP(X173,'pontos focais'!C:D,2,0)</f>
        <v>DESC Agentes de Relacionamento</v>
      </c>
      <c r="AV173" s="41">
        <f t="shared" si="27"/>
        <v>-46160</v>
      </c>
    </row>
    <row r="174" spans="1:48" x14ac:dyDescent="0.25">
      <c r="A174" t="s">
        <v>905</v>
      </c>
      <c r="B174" t="s">
        <v>53</v>
      </c>
      <c r="C174" t="s">
        <v>133</v>
      </c>
      <c r="D174" t="s">
        <v>55</v>
      </c>
      <c r="E174" s="36">
        <v>46154</v>
      </c>
      <c r="F174" t="s">
        <v>56</v>
      </c>
      <c r="G174" t="s">
        <v>111</v>
      </c>
      <c r="H174" t="s">
        <v>111</v>
      </c>
      <c r="I174" t="s">
        <v>372</v>
      </c>
      <c r="J174" t="s">
        <v>697</v>
      </c>
      <c r="K174" t="s">
        <v>697</v>
      </c>
      <c r="L174" t="s">
        <v>64</v>
      </c>
      <c r="M174" t="s">
        <v>97</v>
      </c>
      <c r="N174" t="s">
        <v>14</v>
      </c>
      <c r="O174" t="s">
        <v>97</v>
      </c>
      <c r="P174" t="s">
        <v>377</v>
      </c>
      <c r="Q174" s="36">
        <v>46163</v>
      </c>
      <c r="R174" t="s">
        <v>377</v>
      </c>
      <c r="X174" t="s">
        <v>56</v>
      </c>
      <c r="Y174" t="s">
        <v>697</v>
      </c>
      <c r="Z174" t="s">
        <v>378</v>
      </c>
      <c r="AA174" t="s">
        <v>56</v>
      </c>
      <c r="AB174" t="s">
        <v>697</v>
      </c>
      <c r="AC174" t="s">
        <v>53</v>
      </c>
      <c r="AD174" s="36">
        <v>46249</v>
      </c>
      <c r="AE174" t="s">
        <v>93</v>
      </c>
      <c r="AF174" s="36">
        <v>46163</v>
      </c>
      <c r="AG174" t="s">
        <v>113</v>
      </c>
      <c r="AH174" s="43">
        <v>100</v>
      </c>
      <c r="AI174" s="43">
        <v>100</v>
      </c>
      <c r="AJ174" s="44">
        <v>50</v>
      </c>
      <c r="AK174" t="s">
        <v>697</v>
      </c>
      <c r="AM174" t="s">
        <v>697</v>
      </c>
      <c r="AN174" s="39" t="str">
        <f>VLOOKUP(M174,[1]municipios!$B:$D,3,0)</f>
        <v>PARANAIBA</v>
      </c>
      <c r="AO174" s="37">
        <f t="shared" ca="1" si="21"/>
        <v>134</v>
      </c>
      <c r="AP174" s="38" t="str">
        <f t="shared" ca="1" si="22"/>
        <v>&gt;50 dias</v>
      </c>
      <c r="AQ174" s="39" t="str">
        <f t="shared" ca="1" si="23"/>
        <v>Dentro</v>
      </c>
      <c r="AR174" s="39" t="str">
        <f t="shared" ca="1" si="24"/>
        <v>Não risco</v>
      </c>
      <c r="AS174" s="37" t="e">
        <f t="shared" si="25"/>
        <v>#VALUE!</v>
      </c>
      <c r="AT174" s="39">
        <f t="shared" ca="1" si="26"/>
        <v>125</v>
      </c>
      <c r="AU174" s="47" t="str">
        <f>VLOOKUP(X174,'pontos focais'!C:D,2,0)</f>
        <v>DESC Agentes de Relacionamento</v>
      </c>
      <c r="AV174" s="41">
        <f t="shared" si="27"/>
        <v>-46163</v>
      </c>
    </row>
    <row r="175" spans="1:48" x14ac:dyDescent="0.25">
      <c r="A175" t="s">
        <v>906</v>
      </c>
      <c r="B175" t="s">
        <v>53</v>
      </c>
      <c r="C175" t="s">
        <v>34</v>
      </c>
      <c r="D175" t="s">
        <v>78</v>
      </c>
      <c r="E175" s="36">
        <v>46162</v>
      </c>
      <c r="F175" t="s">
        <v>113</v>
      </c>
      <c r="G175" t="s">
        <v>111</v>
      </c>
      <c r="H175" t="s">
        <v>111</v>
      </c>
      <c r="I175" t="s">
        <v>697</v>
      </c>
      <c r="J175" t="s">
        <v>907</v>
      </c>
      <c r="K175" t="s">
        <v>697</v>
      </c>
      <c r="L175" t="s">
        <v>39</v>
      </c>
      <c r="M175" t="s">
        <v>160</v>
      </c>
      <c r="N175" t="s">
        <v>68</v>
      </c>
      <c r="O175" t="s">
        <v>160</v>
      </c>
      <c r="P175" t="s">
        <v>379</v>
      </c>
      <c r="Q175" s="36">
        <v>46163</v>
      </c>
      <c r="R175" t="s">
        <v>380</v>
      </c>
      <c r="S175" s="36">
        <v>46240</v>
      </c>
      <c r="X175" t="s">
        <v>106</v>
      </c>
      <c r="Y175" t="s">
        <v>73</v>
      </c>
      <c r="AA175" t="s">
        <v>113</v>
      </c>
      <c r="AB175" t="s">
        <v>697</v>
      </c>
      <c r="AC175" t="s">
        <v>53</v>
      </c>
      <c r="AD175" s="36">
        <v>46268</v>
      </c>
      <c r="AE175" t="s">
        <v>93</v>
      </c>
      <c r="AF175" s="36">
        <v>46240</v>
      </c>
      <c r="AG175" t="s">
        <v>49</v>
      </c>
      <c r="AH175" s="43">
        <v>25</v>
      </c>
      <c r="AI175" s="43">
        <v>25</v>
      </c>
      <c r="AJ175" s="44">
        <v>25</v>
      </c>
      <c r="AK175" t="s">
        <v>697</v>
      </c>
      <c r="AM175" t="s">
        <v>697</v>
      </c>
      <c r="AN175" s="39" t="str">
        <f>VLOOKUP(M175,[1]municipios!$B:$D,3,0)</f>
        <v>PONTA PORA</v>
      </c>
      <c r="AO175" s="37">
        <f t="shared" ca="1" si="21"/>
        <v>126</v>
      </c>
      <c r="AP175" s="38" t="str">
        <f t="shared" ca="1" si="22"/>
        <v>&gt;50 dias</v>
      </c>
      <c r="AQ175" s="39" t="str">
        <f t="shared" ca="1" si="23"/>
        <v>Dentro</v>
      </c>
      <c r="AR175" s="39" t="str">
        <f t="shared" ca="1" si="24"/>
        <v>Não risco</v>
      </c>
      <c r="AS175" s="37" t="e">
        <f t="shared" si="25"/>
        <v>#VALUE!</v>
      </c>
      <c r="AT175" s="39">
        <f t="shared" ca="1" si="26"/>
        <v>77</v>
      </c>
      <c r="AU175" s="47" t="str">
        <f>VLOOKUP(X175,'pontos focais'!C:D,2,0)</f>
        <v>DEOP Qualidade</v>
      </c>
      <c r="AV175" s="41">
        <f t="shared" si="27"/>
        <v>-46163</v>
      </c>
    </row>
    <row r="176" spans="1:48" x14ac:dyDescent="0.25">
      <c r="A176" t="s">
        <v>908</v>
      </c>
      <c r="B176" t="s">
        <v>53</v>
      </c>
      <c r="C176" t="s">
        <v>43</v>
      </c>
      <c r="D176" t="s">
        <v>118</v>
      </c>
      <c r="E176" s="36">
        <v>46163</v>
      </c>
      <c r="F176" t="s">
        <v>67</v>
      </c>
      <c r="G176" t="s">
        <v>111</v>
      </c>
      <c r="H176" t="s">
        <v>111</v>
      </c>
      <c r="I176" t="s">
        <v>171</v>
      </c>
      <c r="J176" t="s">
        <v>697</v>
      </c>
      <c r="K176" t="s">
        <v>697</v>
      </c>
      <c r="L176" t="s">
        <v>64</v>
      </c>
      <c r="M176" t="s">
        <v>65</v>
      </c>
      <c r="N176" t="s">
        <v>68</v>
      </c>
      <c r="O176" t="s">
        <v>65</v>
      </c>
      <c r="P176" t="s">
        <v>381</v>
      </c>
      <c r="Q176" s="36">
        <v>46174</v>
      </c>
      <c r="R176" t="s">
        <v>381</v>
      </c>
      <c r="S176" s="36">
        <v>46195</v>
      </c>
      <c r="U176" s="36">
        <v>46189</v>
      </c>
      <c r="W176" s="36">
        <v>46187</v>
      </c>
      <c r="X176" t="s">
        <v>67</v>
      </c>
      <c r="Y176" t="s">
        <v>82</v>
      </c>
      <c r="Z176" t="s">
        <v>382</v>
      </c>
      <c r="AA176" t="s">
        <v>67</v>
      </c>
      <c r="AB176" t="s">
        <v>697</v>
      </c>
      <c r="AC176" t="s">
        <v>53</v>
      </c>
      <c r="AD176" s="36">
        <v>46268</v>
      </c>
      <c r="AE176" t="s">
        <v>93</v>
      </c>
      <c r="AF176" s="36">
        <v>46195</v>
      </c>
      <c r="AG176" t="s">
        <v>83</v>
      </c>
      <c r="AH176" s="43">
        <v>25</v>
      </c>
      <c r="AI176" s="43">
        <v>25</v>
      </c>
      <c r="AJ176" s="44">
        <v>25</v>
      </c>
      <c r="AK176" t="s">
        <v>697</v>
      </c>
      <c r="AM176" t="s">
        <v>697</v>
      </c>
      <c r="AN176" s="39" t="str">
        <f>VLOOKUP(M176,[1]municipios!$B:$D,3,0)</f>
        <v>CAMPO GRANDE</v>
      </c>
      <c r="AO176" s="37">
        <f t="shared" ca="1" si="21"/>
        <v>125</v>
      </c>
      <c r="AP176" s="38" t="str">
        <f t="shared" ca="1" si="22"/>
        <v>&gt;50 dias</v>
      </c>
      <c r="AQ176" s="39" t="str">
        <f t="shared" ca="1" si="23"/>
        <v>Dentro</v>
      </c>
      <c r="AR176" s="39" t="str">
        <f t="shared" ca="1" si="24"/>
        <v>Não risco</v>
      </c>
      <c r="AS176" s="37" t="e">
        <f t="shared" si="25"/>
        <v>#VALUE!</v>
      </c>
      <c r="AT176" s="39">
        <f t="shared" ca="1" si="26"/>
        <v>21</v>
      </c>
      <c r="AU176" s="47" t="str">
        <f>VLOOKUP(X176,'pontos focais'!C:D,2,0)</f>
        <v>Institucional</v>
      </c>
      <c r="AV176" s="41">
        <f t="shared" si="27"/>
        <v>15</v>
      </c>
    </row>
    <row r="177" spans="1:48" x14ac:dyDescent="0.25">
      <c r="A177" t="s">
        <v>911</v>
      </c>
      <c r="B177" t="s">
        <v>53</v>
      </c>
      <c r="C177" t="s">
        <v>133</v>
      </c>
      <c r="D177" t="s">
        <v>55</v>
      </c>
      <c r="E177" s="36">
        <v>46155</v>
      </c>
      <c r="F177" t="s">
        <v>388</v>
      </c>
      <c r="G177" t="s">
        <v>111</v>
      </c>
      <c r="H177" t="s">
        <v>111</v>
      </c>
      <c r="I177" t="s">
        <v>334</v>
      </c>
      <c r="J177" t="s">
        <v>697</v>
      </c>
      <c r="K177" t="s">
        <v>697</v>
      </c>
      <c r="L177" t="s">
        <v>697</v>
      </c>
      <c r="M177" t="s">
        <v>124</v>
      </c>
      <c r="N177" t="s">
        <v>14</v>
      </c>
      <c r="O177" t="s">
        <v>124</v>
      </c>
      <c r="P177" t="s">
        <v>389</v>
      </c>
      <c r="Q177" s="36">
        <v>46182</v>
      </c>
      <c r="R177" t="s">
        <v>389</v>
      </c>
      <c r="X177" t="s">
        <v>56</v>
      </c>
      <c r="Y177" t="s">
        <v>697</v>
      </c>
      <c r="Z177" t="s">
        <v>390</v>
      </c>
      <c r="AA177" t="s">
        <v>391</v>
      </c>
      <c r="AB177" t="s">
        <v>697</v>
      </c>
      <c r="AC177" t="s">
        <v>53</v>
      </c>
      <c r="AD177" s="36">
        <v>46249</v>
      </c>
      <c r="AE177" t="s">
        <v>93</v>
      </c>
      <c r="AF177" s="36">
        <v>46182</v>
      </c>
      <c r="AG177" t="s">
        <v>113</v>
      </c>
      <c r="AH177" s="43">
        <v>100</v>
      </c>
      <c r="AI177" s="43">
        <v>100</v>
      </c>
      <c r="AJ177" s="44">
        <v>50</v>
      </c>
      <c r="AK177" t="s">
        <v>697</v>
      </c>
      <c r="AM177" t="s">
        <v>697</v>
      </c>
      <c r="AN177" s="39" t="str">
        <f>VLOOKUP(M177,[1]municipios!$B:$D,3,0)</f>
        <v>PARANAIBA</v>
      </c>
      <c r="AO177" s="37">
        <f t="shared" ca="1" si="21"/>
        <v>133</v>
      </c>
      <c r="AP177" s="38" t="str">
        <f t="shared" ca="1" si="22"/>
        <v>&gt;50 dias</v>
      </c>
      <c r="AQ177" s="39" t="str">
        <f t="shared" ca="1" si="23"/>
        <v>Dentro</v>
      </c>
      <c r="AR177" s="39" t="str">
        <f t="shared" ca="1" si="24"/>
        <v>Não risco</v>
      </c>
      <c r="AS177" s="37" t="e">
        <f t="shared" si="25"/>
        <v>#VALUE!</v>
      </c>
      <c r="AT177" s="39">
        <f t="shared" ca="1" si="26"/>
        <v>106</v>
      </c>
      <c r="AU177" s="47" t="str">
        <f>VLOOKUP(X177,'pontos focais'!C:D,2,0)</f>
        <v>DESC Agentes de Relacionamento</v>
      </c>
      <c r="AV177" s="41">
        <f t="shared" si="27"/>
        <v>-46182</v>
      </c>
    </row>
    <row r="178" spans="1:48" x14ac:dyDescent="0.25">
      <c r="A178" t="s">
        <v>912</v>
      </c>
      <c r="B178" t="s">
        <v>53</v>
      </c>
      <c r="C178" t="s">
        <v>133</v>
      </c>
      <c r="D178" t="s">
        <v>55</v>
      </c>
      <c r="E178" s="36">
        <v>46156</v>
      </c>
      <c r="F178" t="s">
        <v>56</v>
      </c>
      <c r="G178" t="s">
        <v>111</v>
      </c>
      <c r="H178" t="s">
        <v>111</v>
      </c>
      <c r="I178" t="s">
        <v>392</v>
      </c>
      <c r="J178" t="s">
        <v>697</v>
      </c>
      <c r="K178" t="s">
        <v>697</v>
      </c>
      <c r="L178" t="s">
        <v>697</v>
      </c>
      <c r="M178" t="s">
        <v>110</v>
      </c>
      <c r="N178" t="s">
        <v>68</v>
      </c>
      <c r="O178" t="s">
        <v>110</v>
      </c>
      <c r="P178" t="s">
        <v>393</v>
      </c>
      <c r="Q178" s="36">
        <v>46175</v>
      </c>
      <c r="R178" t="s">
        <v>394</v>
      </c>
      <c r="X178" t="s">
        <v>56</v>
      </c>
      <c r="Y178" t="s">
        <v>697</v>
      </c>
      <c r="Z178" t="s">
        <v>395</v>
      </c>
      <c r="AA178" t="s">
        <v>396</v>
      </c>
      <c r="AB178" t="s">
        <v>697</v>
      </c>
      <c r="AC178" t="s">
        <v>53</v>
      </c>
      <c r="AD178" s="36">
        <v>46249</v>
      </c>
      <c r="AE178" t="s">
        <v>93</v>
      </c>
      <c r="AF178" s="36">
        <v>46175</v>
      </c>
      <c r="AG178" t="s">
        <v>113</v>
      </c>
      <c r="AH178" s="43">
        <v>25</v>
      </c>
      <c r="AI178" s="43">
        <v>25</v>
      </c>
      <c r="AJ178" s="44">
        <v>12.5</v>
      </c>
      <c r="AK178" t="s">
        <v>697</v>
      </c>
      <c r="AM178" t="s">
        <v>697</v>
      </c>
      <c r="AN178" s="39" t="str">
        <f>VLOOKUP(M178,[1]municipios!$B:$D,3,0)</f>
        <v>PARANAIBA</v>
      </c>
      <c r="AO178" s="37">
        <f t="shared" ca="1" si="21"/>
        <v>132</v>
      </c>
      <c r="AP178" s="38" t="str">
        <f t="shared" ca="1" si="22"/>
        <v>&gt;50 dias</v>
      </c>
      <c r="AQ178" s="39" t="str">
        <f t="shared" ca="1" si="23"/>
        <v>Dentro</v>
      </c>
      <c r="AR178" s="39" t="str">
        <f t="shared" ca="1" si="24"/>
        <v>Não risco</v>
      </c>
      <c r="AS178" s="37" t="e">
        <f t="shared" si="25"/>
        <v>#VALUE!</v>
      </c>
      <c r="AT178" s="39">
        <f t="shared" ca="1" si="26"/>
        <v>113</v>
      </c>
      <c r="AU178" s="47" t="str">
        <f>VLOOKUP(X178,'pontos focais'!C:D,2,0)</f>
        <v>DESC Agentes de Relacionamento</v>
      </c>
      <c r="AV178" s="41">
        <f t="shared" si="27"/>
        <v>-46175</v>
      </c>
    </row>
    <row r="179" spans="1:48" x14ac:dyDescent="0.25">
      <c r="A179" t="s">
        <v>876</v>
      </c>
      <c r="B179" t="s">
        <v>53</v>
      </c>
      <c r="C179" t="s">
        <v>96</v>
      </c>
      <c r="D179" t="s">
        <v>35</v>
      </c>
      <c r="E179" s="36">
        <v>46168</v>
      </c>
      <c r="F179" t="s">
        <v>114</v>
      </c>
      <c r="G179" t="s">
        <v>37</v>
      </c>
      <c r="H179" t="s">
        <v>37</v>
      </c>
      <c r="I179" t="s">
        <v>697</v>
      </c>
      <c r="J179" t="s">
        <v>697</v>
      </c>
      <c r="K179" t="s">
        <v>697</v>
      </c>
      <c r="L179" t="s">
        <v>64</v>
      </c>
      <c r="M179" t="s">
        <v>65</v>
      </c>
      <c r="N179" t="s">
        <v>80</v>
      </c>
      <c r="O179" t="s">
        <v>65</v>
      </c>
      <c r="P179" t="s">
        <v>283</v>
      </c>
      <c r="Q179" s="36">
        <v>46168</v>
      </c>
      <c r="R179" t="s">
        <v>284</v>
      </c>
      <c r="S179" s="36">
        <v>46262</v>
      </c>
      <c r="U179" s="36">
        <v>46188</v>
      </c>
      <c r="X179" t="s">
        <v>721</v>
      </c>
      <c r="Y179" t="s">
        <v>70</v>
      </c>
      <c r="Z179" t="s">
        <v>219</v>
      </c>
      <c r="AA179" t="s">
        <v>697</v>
      </c>
      <c r="AB179" t="s">
        <v>697</v>
      </c>
      <c r="AC179" t="s">
        <v>53</v>
      </c>
      <c r="AD179" s="36">
        <v>46268</v>
      </c>
      <c r="AE179" t="s">
        <v>93</v>
      </c>
      <c r="AF179" s="36">
        <v>46262</v>
      </c>
      <c r="AG179" t="s">
        <v>71</v>
      </c>
      <c r="AH179" s="43">
        <v>100</v>
      </c>
      <c r="AI179" s="43">
        <v>100</v>
      </c>
      <c r="AJ179" s="44">
        <v>100</v>
      </c>
      <c r="AK179" t="s">
        <v>697</v>
      </c>
      <c r="AM179" t="s">
        <v>697</v>
      </c>
      <c r="AN179" s="39" t="str">
        <f>VLOOKUP(M179,[1]municipios!$B:$D,3,0)</f>
        <v>CAMPO GRANDE</v>
      </c>
      <c r="AO179" s="37">
        <f t="shared" ca="1" si="21"/>
        <v>120</v>
      </c>
      <c r="AP179" s="38" t="str">
        <f t="shared" ca="1" si="22"/>
        <v>&gt;50 dias</v>
      </c>
      <c r="AQ179" s="39" t="str">
        <f t="shared" ca="1" si="23"/>
        <v>Fora</v>
      </c>
      <c r="AR179" s="39" t="str">
        <f t="shared" ca="1" si="24"/>
        <v>Não risco</v>
      </c>
      <c r="AS179" s="37" t="e">
        <f t="shared" si="25"/>
        <v>#VALUE!</v>
      </c>
      <c r="AT179" s="39">
        <f t="shared" ca="1" si="26"/>
        <v>94</v>
      </c>
      <c r="AU179" s="47" t="str">
        <f>VLOOKUP(X179,'pontos focais'!C:D,2,0)</f>
        <v>DCMD Manutenção</v>
      </c>
      <c r="AV179" s="41">
        <f t="shared" si="27"/>
        <v>20</v>
      </c>
    </row>
    <row r="180" spans="1:48" x14ac:dyDescent="0.25">
      <c r="A180" t="s">
        <v>876</v>
      </c>
      <c r="B180" t="s">
        <v>53</v>
      </c>
      <c r="C180" t="s">
        <v>34</v>
      </c>
      <c r="D180" t="s">
        <v>78</v>
      </c>
      <c r="E180" s="36">
        <v>46168</v>
      </c>
      <c r="F180" t="s">
        <v>114</v>
      </c>
      <c r="G180" t="s">
        <v>37</v>
      </c>
      <c r="H180" t="s">
        <v>111</v>
      </c>
      <c r="I180" t="s">
        <v>697</v>
      </c>
      <c r="J180" t="s">
        <v>697</v>
      </c>
      <c r="K180" t="s">
        <v>697</v>
      </c>
      <c r="L180" t="s">
        <v>64</v>
      </c>
      <c r="M180" t="s">
        <v>65</v>
      </c>
      <c r="N180" t="s">
        <v>80</v>
      </c>
      <c r="O180" t="s">
        <v>65</v>
      </c>
      <c r="P180" t="s">
        <v>283</v>
      </c>
      <c r="Q180" s="36">
        <v>46168</v>
      </c>
      <c r="R180" t="s">
        <v>499</v>
      </c>
      <c r="S180" s="36">
        <v>46247</v>
      </c>
      <c r="U180" s="36">
        <v>46188</v>
      </c>
      <c r="W180" s="36">
        <v>46247</v>
      </c>
      <c r="X180" t="s">
        <v>108</v>
      </c>
      <c r="Y180" t="s">
        <v>546</v>
      </c>
      <c r="Z180" t="s">
        <v>219</v>
      </c>
      <c r="AA180" t="s">
        <v>697</v>
      </c>
      <c r="AB180" t="s">
        <v>697</v>
      </c>
      <c r="AC180" t="s">
        <v>53</v>
      </c>
      <c r="AD180" s="36">
        <v>46268</v>
      </c>
      <c r="AE180" t="s">
        <v>93</v>
      </c>
      <c r="AF180" s="36">
        <v>46247</v>
      </c>
      <c r="AG180" t="s">
        <v>214</v>
      </c>
      <c r="AH180" s="43">
        <v>100</v>
      </c>
      <c r="AI180" s="43">
        <v>100</v>
      </c>
      <c r="AJ180" s="44">
        <v>100</v>
      </c>
      <c r="AK180" t="s">
        <v>697</v>
      </c>
      <c r="AM180" t="s">
        <v>697</v>
      </c>
      <c r="AN180" s="39" t="str">
        <f>VLOOKUP(M180,[1]municipios!$B:$D,3,0)</f>
        <v>CAMPO GRANDE</v>
      </c>
      <c r="AO180" s="37">
        <f t="shared" ref="AO180:AO184" ca="1" si="28">TODAY()-E180</f>
        <v>120</v>
      </c>
      <c r="AP180" s="38" t="str">
        <f t="shared" ref="AP180:AP184" ca="1" si="29">IF(AO180&lt;=5,"0–5 dias",IF(AO180&lt;=15,"6–15 dias",IF(AO180&lt;=16,"16–30 dias",IF(AO180&lt;=30,"30–50 dias","&gt;50 dias"))))</f>
        <v>&gt;50 dias</v>
      </c>
      <c r="AQ180" s="39" t="str">
        <f t="shared" ref="AQ180:AQ184" ca="1" si="30">IF(U180="","Dentro",(IF(IF(W180="",TODAY(),W180)&lt;=U180,"Dentro","Fora")))</f>
        <v>Fora</v>
      </c>
      <c r="AR180" s="39" t="str">
        <f t="shared" ref="AR180:AR184" ca="1" si="31">IF(U180="","Não risco",IF((TODAY()-U180)&lt;=7,"Risco","Não risco"))</f>
        <v>Não risco</v>
      </c>
      <c r="AS180" s="37" t="e">
        <f t="shared" ref="AS180:AS184" si="32">IF(SEARCH("integrar",P180)&gt;0,"Sim","Não")</f>
        <v>#VALUE!</v>
      </c>
      <c r="AT180" s="39">
        <f t="shared" ref="AT180:AT184" ca="1" si="33">IF(S180="",TODAY()-Q180,S180-Q180)</f>
        <v>79</v>
      </c>
      <c r="AU180" s="47" t="str">
        <f>VLOOKUP(X180,'pontos focais'!C:D,2,0)</f>
        <v>DEOP Qualidade</v>
      </c>
      <c r="AV180" s="41">
        <f t="shared" si="27"/>
        <v>20</v>
      </c>
    </row>
    <row r="181" spans="1:48" x14ac:dyDescent="0.25">
      <c r="A181" t="s">
        <v>877</v>
      </c>
      <c r="B181" t="s">
        <v>53</v>
      </c>
      <c r="C181" t="s">
        <v>96</v>
      </c>
      <c r="D181" t="s">
        <v>35</v>
      </c>
      <c r="E181" s="36">
        <v>46171</v>
      </c>
      <c r="F181" t="s">
        <v>67</v>
      </c>
      <c r="G181" t="s">
        <v>37</v>
      </c>
      <c r="H181" t="s">
        <v>37</v>
      </c>
      <c r="I181" t="s">
        <v>697</v>
      </c>
      <c r="J181" t="s">
        <v>697</v>
      </c>
      <c r="K181" t="s">
        <v>697</v>
      </c>
      <c r="L181" t="s">
        <v>39</v>
      </c>
      <c r="M181" t="s">
        <v>160</v>
      </c>
      <c r="N181" t="s">
        <v>68</v>
      </c>
      <c r="O181" t="s">
        <v>160</v>
      </c>
      <c r="P181" t="s">
        <v>285</v>
      </c>
      <c r="Q181" s="36">
        <v>46204</v>
      </c>
      <c r="R181" t="s">
        <v>286</v>
      </c>
      <c r="S181" s="36">
        <v>46262</v>
      </c>
      <c r="V181" s="36">
        <v>46261</v>
      </c>
      <c r="X181" t="s">
        <v>77</v>
      </c>
      <c r="Y181" t="s">
        <v>546</v>
      </c>
      <c r="Z181" t="s">
        <v>287</v>
      </c>
      <c r="AA181" t="s">
        <v>67</v>
      </c>
      <c r="AB181" t="s">
        <v>697</v>
      </c>
      <c r="AC181" t="s">
        <v>53</v>
      </c>
      <c r="AD181" s="36">
        <v>46268</v>
      </c>
      <c r="AE181" t="s">
        <v>93</v>
      </c>
      <c r="AF181" s="36">
        <v>46262</v>
      </c>
      <c r="AG181" t="s">
        <v>214</v>
      </c>
      <c r="AH181" s="43">
        <v>25</v>
      </c>
      <c r="AI181" s="43">
        <v>25</v>
      </c>
      <c r="AJ181" s="44">
        <v>25</v>
      </c>
      <c r="AK181" t="s">
        <v>697</v>
      </c>
      <c r="AM181" t="s">
        <v>697</v>
      </c>
      <c r="AN181" s="39" t="str">
        <f>VLOOKUP(M181,[1]municipios!$B:$D,3,0)</f>
        <v>PONTA PORA</v>
      </c>
      <c r="AO181" s="37">
        <f t="shared" ca="1" si="28"/>
        <v>117</v>
      </c>
      <c r="AP181" s="38" t="str">
        <f t="shared" ca="1" si="29"/>
        <v>&gt;50 dias</v>
      </c>
      <c r="AQ181" s="39" t="str">
        <f t="shared" ca="1" si="30"/>
        <v>Dentro</v>
      </c>
      <c r="AR181" s="39" t="str">
        <f t="shared" ca="1" si="31"/>
        <v>Não risco</v>
      </c>
      <c r="AS181" s="37" t="e">
        <f t="shared" si="32"/>
        <v>#VALUE!</v>
      </c>
      <c r="AT181" s="39">
        <f t="shared" ca="1" si="33"/>
        <v>58</v>
      </c>
      <c r="AU181" s="47" t="str">
        <f>VLOOKUP(X181,'pontos focais'!C:D,2,0)</f>
        <v>DCMD Manutenção</v>
      </c>
      <c r="AV181" s="41">
        <f t="shared" si="27"/>
        <v>-46204</v>
      </c>
    </row>
    <row r="182" spans="1:48" x14ac:dyDescent="0.25">
      <c r="A182" t="s">
        <v>877</v>
      </c>
      <c r="B182" t="s">
        <v>53</v>
      </c>
      <c r="C182" t="s">
        <v>34</v>
      </c>
      <c r="D182" t="s">
        <v>78</v>
      </c>
      <c r="E182" s="36">
        <v>46171</v>
      </c>
      <c r="F182" t="s">
        <v>67</v>
      </c>
      <c r="G182" t="s">
        <v>37</v>
      </c>
      <c r="H182" t="s">
        <v>111</v>
      </c>
      <c r="I182" t="s">
        <v>697</v>
      </c>
      <c r="J182" t="s">
        <v>697</v>
      </c>
      <c r="K182" t="s">
        <v>697</v>
      </c>
      <c r="L182" t="s">
        <v>39</v>
      </c>
      <c r="M182" t="s">
        <v>160</v>
      </c>
      <c r="N182" t="s">
        <v>68</v>
      </c>
      <c r="O182" t="s">
        <v>160</v>
      </c>
      <c r="P182" t="s">
        <v>285</v>
      </c>
      <c r="Q182" s="36">
        <v>46175</v>
      </c>
      <c r="R182" t="s">
        <v>285</v>
      </c>
      <c r="S182" s="36">
        <v>46202</v>
      </c>
      <c r="X182" t="s">
        <v>81</v>
      </c>
      <c r="Y182" t="s">
        <v>117</v>
      </c>
      <c r="Z182" t="s">
        <v>287</v>
      </c>
      <c r="AA182" t="s">
        <v>67</v>
      </c>
      <c r="AB182" t="s">
        <v>697</v>
      </c>
      <c r="AC182" t="s">
        <v>53</v>
      </c>
      <c r="AD182" s="36">
        <v>46268</v>
      </c>
      <c r="AE182" t="s">
        <v>93</v>
      </c>
      <c r="AF182" s="36">
        <v>46202</v>
      </c>
      <c r="AG182" t="s">
        <v>81</v>
      </c>
      <c r="AH182" s="43">
        <v>25</v>
      </c>
      <c r="AI182" s="43">
        <v>25</v>
      </c>
      <c r="AJ182" s="44">
        <v>62.5</v>
      </c>
      <c r="AK182" t="s">
        <v>697</v>
      </c>
      <c r="AM182" t="s">
        <v>697</v>
      </c>
      <c r="AN182" s="39" t="str">
        <f>VLOOKUP(M182,[1]municipios!$B:$D,3,0)</f>
        <v>PONTA PORA</v>
      </c>
      <c r="AO182" s="37">
        <f t="shared" ca="1" si="28"/>
        <v>117</v>
      </c>
      <c r="AP182" s="38" t="str">
        <f t="shared" ca="1" si="29"/>
        <v>&gt;50 dias</v>
      </c>
      <c r="AQ182" s="39" t="str">
        <f t="shared" ca="1" si="30"/>
        <v>Dentro</v>
      </c>
      <c r="AR182" s="39" t="str">
        <f t="shared" ca="1" si="31"/>
        <v>Não risco</v>
      </c>
      <c r="AS182" s="37" t="e">
        <f t="shared" si="32"/>
        <v>#VALUE!</v>
      </c>
      <c r="AT182" s="39">
        <f t="shared" ca="1" si="33"/>
        <v>27</v>
      </c>
      <c r="AU182" s="47" t="str">
        <f>VLOOKUP(X182,'pontos focais'!C:D,2,0)</f>
        <v>DEOP Qualidade</v>
      </c>
      <c r="AV182" s="41">
        <f t="shared" si="27"/>
        <v>-46175</v>
      </c>
    </row>
    <row r="183" spans="1:48" x14ac:dyDescent="0.25">
      <c r="A183" t="s">
        <v>878</v>
      </c>
      <c r="B183" t="s">
        <v>53</v>
      </c>
      <c r="C183" t="s">
        <v>74</v>
      </c>
      <c r="D183" t="s">
        <v>35</v>
      </c>
      <c r="E183" s="36">
        <v>46000</v>
      </c>
      <c r="F183" t="s">
        <v>67</v>
      </c>
      <c r="G183" t="s">
        <v>37</v>
      </c>
      <c r="H183" t="s">
        <v>37</v>
      </c>
      <c r="I183" t="s">
        <v>697</v>
      </c>
      <c r="J183" t="s">
        <v>697</v>
      </c>
      <c r="K183" t="s">
        <v>697</v>
      </c>
      <c r="L183" t="s">
        <v>39</v>
      </c>
      <c r="M183" t="s">
        <v>109</v>
      </c>
      <c r="N183" t="s">
        <v>14</v>
      </c>
      <c r="O183" t="s">
        <v>109</v>
      </c>
      <c r="P183" t="s">
        <v>288</v>
      </c>
      <c r="Q183" s="36">
        <v>46178</v>
      </c>
      <c r="R183" t="s">
        <v>676</v>
      </c>
      <c r="S183" s="36">
        <v>46252</v>
      </c>
      <c r="T183" t="s">
        <v>677</v>
      </c>
      <c r="X183" t="s">
        <v>77</v>
      </c>
      <c r="Y183" t="s">
        <v>546</v>
      </c>
      <c r="AA183" t="s">
        <v>67</v>
      </c>
      <c r="AB183" t="s">
        <v>697</v>
      </c>
      <c r="AC183" t="s">
        <v>53</v>
      </c>
      <c r="AD183" s="36">
        <v>46252</v>
      </c>
      <c r="AE183" t="s">
        <v>214</v>
      </c>
      <c r="AF183" s="36">
        <v>46252</v>
      </c>
      <c r="AG183" t="s">
        <v>214</v>
      </c>
      <c r="AH183" s="43">
        <v>100</v>
      </c>
      <c r="AI183" s="43">
        <v>100</v>
      </c>
      <c r="AJ183" s="44">
        <v>100</v>
      </c>
      <c r="AK183" t="s">
        <v>697</v>
      </c>
      <c r="AM183" t="s">
        <v>697</v>
      </c>
      <c r="AN183" s="39" t="str">
        <f>VLOOKUP(M183,[1]municipios!$B:$D,3,0)</f>
        <v>RIO BRILHANTE</v>
      </c>
      <c r="AO183" s="37">
        <f t="shared" ca="1" si="28"/>
        <v>288</v>
      </c>
      <c r="AP183" s="38" t="str">
        <f t="shared" ca="1" si="29"/>
        <v>&gt;50 dias</v>
      </c>
      <c r="AQ183" s="39" t="str">
        <f t="shared" ca="1" si="30"/>
        <v>Dentro</v>
      </c>
      <c r="AR183" s="39" t="str">
        <f t="shared" ca="1" si="31"/>
        <v>Não risco</v>
      </c>
      <c r="AS183" s="37" t="e">
        <f t="shared" si="32"/>
        <v>#VALUE!</v>
      </c>
      <c r="AT183" s="39">
        <f t="shared" ca="1" si="33"/>
        <v>74</v>
      </c>
      <c r="AU183" s="47" t="str">
        <f>VLOOKUP(X183,'pontos focais'!C:D,2,0)</f>
        <v>DCMD Manutenção</v>
      </c>
      <c r="AV183" s="41">
        <f t="shared" si="27"/>
        <v>-46178</v>
      </c>
    </row>
    <row r="184" spans="1:48" x14ac:dyDescent="0.25">
      <c r="A184" t="s">
        <v>879</v>
      </c>
      <c r="B184" t="s">
        <v>53</v>
      </c>
      <c r="C184" t="s">
        <v>34</v>
      </c>
      <c r="D184" t="s">
        <v>35</v>
      </c>
      <c r="E184" s="36">
        <v>45992</v>
      </c>
      <c r="F184" t="s">
        <v>44</v>
      </c>
      <c r="G184" t="s">
        <v>37</v>
      </c>
      <c r="H184" t="s">
        <v>37</v>
      </c>
      <c r="I184" t="s">
        <v>697</v>
      </c>
      <c r="J184" t="s">
        <v>697</v>
      </c>
      <c r="K184" t="s">
        <v>697</v>
      </c>
      <c r="L184" t="s">
        <v>64</v>
      </c>
      <c r="M184" t="s">
        <v>97</v>
      </c>
      <c r="N184" t="s">
        <v>68</v>
      </c>
      <c r="O184" t="s">
        <v>97</v>
      </c>
      <c r="P184" t="s">
        <v>289</v>
      </c>
      <c r="Q184" s="36">
        <v>46178</v>
      </c>
      <c r="R184" t="s">
        <v>678</v>
      </c>
      <c r="S184" s="36">
        <v>46252</v>
      </c>
      <c r="X184" t="s">
        <v>679</v>
      </c>
      <c r="Y184" t="s">
        <v>546</v>
      </c>
      <c r="AA184" t="s">
        <v>44</v>
      </c>
      <c r="AB184" t="s">
        <v>697</v>
      </c>
      <c r="AC184" t="s">
        <v>53</v>
      </c>
      <c r="AD184" s="36">
        <v>46252</v>
      </c>
      <c r="AE184" t="s">
        <v>214</v>
      </c>
      <c r="AF184" s="36">
        <v>46252</v>
      </c>
      <c r="AG184" t="s">
        <v>214</v>
      </c>
      <c r="AH184" s="43">
        <v>25</v>
      </c>
      <c r="AI184" s="43">
        <v>25</v>
      </c>
      <c r="AJ184" s="44">
        <v>25</v>
      </c>
      <c r="AK184" t="s">
        <v>697</v>
      </c>
      <c r="AM184" t="s">
        <v>697</v>
      </c>
      <c r="AN184" s="39" t="str">
        <f>VLOOKUP(M184,[1]municipios!$B:$D,3,0)</f>
        <v>PARANAIBA</v>
      </c>
      <c r="AO184" s="37">
        <f t="shared" ca="1" si="28"/>
        <v>296</v>
      </c>
      <c r="AP184" s="38" t="str">
        <f t="shared" ca="1" si="29"/>
        <v>&gt;50 dias</v>
      </c>
      <c r="AQ184" s="39" t="str">
        <f t="shared" ca="1" si="30"/>
        <v>Dentro</v>
      </c>
      <c r="AR184" s="39" t="str">
        <f t="shared" ca="1" si="31"/>
        <v>Não risco</v>
      </c>
      <c r="AS184" s="37" t="e">
        <f t="shared" si="32"/>
        <v>#VALUE!</v>
      </c>
      <c r="AT184" s="39">
        <f t="shared" ca="1" si="33"/>
        <v>74</v>
      </c>
      <c r="AU184" s="47" t="str">
        <f>VLOOKUP(X184,'pontos focais'!C:D,2,0)</f>
        <v>DCMD Manutenção</v>
      </c>
      <c r="AV184" s="41">
        <f t="shared" si="27"/>
        <v>-46178</v>
      </c>
    </row>
    <row r="185" spans="1:48" x14ac:dyDescent="0.25">
      <c r="A185" t="s">
        <v>880</v>
      </c>
      <c r="B185" t="s">
        <v>53</v>
      </c>
      <c r="C185" t="s">
        <v>96</v>
      </c>
      <c r="D185" t="s">
        <v>35</v>
      </c>
      <c r="E185" s="36">
        <v>46000</v>
      </c>
      <c r="F185" t="s">
        <v>44</v>
      </c>
      <c r="G185" t="s">
        <v>37</v>
      </c>
      <c r="H185" t="s">
        <v>37</v>
      </c>
      <c r="I185" t="s">
        <v>697</v>
      </c>
      <c r="J185" t="s">
        <v>697</v>
      </c>
      <c r="K185" t="s">
        <v>697</v>
      </c>
      <c r="L185" t="s">
        <v>57</v>
      </c>
      <c r="M185" t="s">
        <v>1024</v>
      </c>
      <c r="N185" t="s">
        <v>14</v>
      </c>
      <c r="O185" t="s">
        <v>182</v>
      </c>
      <c r="P185" t="s">
        <v>293</v>
      </c>
      <c r="Q185" s="36">
        <v>46178</v>
      </c>
      <c r="R185" t="s">
        <v>680</v>
      </c>
      <c r="S185" s="36">
        <v>46252</v>
      </c>
      <c r="X185" t="s">
        <v>77</v>
      </c>
      <c r="Y185" t="s">
        <v>546</v>
      </c>
      <c r="AA185" t="s">
        <v>44</v>
      </c>
      <c r="AB185" t="s">
        <v>697</v>
      </c>
      <c r="AC185" t="s">
        <v>53</v>
      </c>
      <c r="AD185" s="36">
        <v>46252</v>
      </c>
      <c r="AE185" t="s">
        <v>214</v>
      </c>
      <c r="AF185" s="36">
        <v>46252</v>
      </c>
      <c r="AG185" t="s">
        <v>214</v>
      </c>
      <c r="AH185" s="43">
        <v>100</v>
      </c>
      <c r="AI185" s="43">
        <v>100</v>
      </c>
      <c r="AJ185" s="44">
        <v>100</v>
      </c>
      <c r="AK185" t="s">
        <v>697</v>
      </c>
      <c r="AM185" t="s">
        <v>697</v>
      </c>
      <c r="AN185" s="39" t="str">
        <f>VLOOKUP(M185,[1]municipios!$B:$D,3,0)</f>
        <v>JARDIM</v>
      </c>
      <c r="AO185" s="37">
        <f t="shared" ref="AO185:AO195" ca="1" si="34">TODAY()-E185</f>
        <v>288</v>
      </c>
      <c r="AP185" s="38" t="str">
        <f t="shared" ref="AP185:AP195" ca="1" si="35">IF(AO185&lt;=5,"0–5 dias",IF(AO185&lt;=15,"6–15 dias",IF(AO185&lt;=16,"16–30 dias",IF(AO185&lt;=30,"30–50 dias","&gt;50 dias"))))</f>
        <v>&gt;50 dias</v>
      </c>
      <c r="AQ185" s="39" t="str">
        <f t="shared" ref="AQ185:AQ195" ca="1" si="36">IF(U185="","Dentro",(IF(IF(W185="",TODAY(),W185)&lt;=U185,"Dentro","Fora")))</f>
        <v>Dentro</v>
      </c>
      <c r="AR185" s="39" t="str">
        <f t="shared" ref="AR185:AR195" ca="1" si="37">IF(U185="","Não risco",IF((TODAY()-U185)&lt;=7,"Risco","Não risco"))</f>
        <v>Não risco</v>
      </c>
      <c r="AS185" s="37" t="e">
        <f t="shared" ref="AS185:AS195" si="38">IF(SEARCH("integrar",P185)&gt;0,"Sim","Não")</f>
        <v>#VALUE!</v>
      </c>
      <c r="AT185" s="39">
        <f t="shared" ref="AT185:AT195" ca="1" si="39">IF(S185="",TODAY()-Q185,S185-Q185)</f>
        <v>74</v>
      </c>
      <c r="AU185" s="47" t="str">
        <f>VLOOKUP(X185,'pontos focais'!C:D,2,0)</f>
        <v>DCMD Manutenção</v>
      </c>
      <c r="AV185" s="41">
        <f t="shared" ref="AV185:AV195" si="40">U185-Q185</f>
        <v>-46178</v>
      </c>
    </row>
    <row r="186" spans="1:48" x14ac:dyDescent="0.25">
      <c r="A186" t="s">
        <v>881</v>
      </c>
      <c r="B186" t="s">
        <v>53</v>
      </c>
      <c r="C186" t="s">
        <v>74</v>
      </c>
      <c r="D186" t="s">
        <v>35</v>
      </c>
      <c r="E186" s="36">
        <v>46000</v>
      </c>
      <c r="F186" t="s">
        <v>67</v>
      </c>
      <c r="G186" t="s">
        <v>37</v>
      </c>
      <c r="H186" t="s">
        <v>37</v>
      </c>
      <c r="I186" t="s">
        <v>697</v>
      </c>
      <c r="J186" t="s">
        <v>697</v>
      </c>
      <c r="K186" t="s">
        <v>697</v>
      </c>
      <c r="L186" t="s">
        <v>64</v>
      </c>
      <c r="M186" t="s">
        <v>85</v>
      </c>
      <c r="N186" t="s">
        <v>14</v>
      </c>
      <c r="O186" t="s">
        <v>85</v>
      </c>
      <c r="P186" t="s">
        <v>294</v>
      </c>
      <c r="Q186" s="36">
        <v>46178</v>
      </c>
      <c r="R186" t="s">
        <v>681</v>
      </c>
      <c r="S186" s="36">
        <v>46252</v>
      </c>
      <c r="X186" t="s">
        <v>77</v>
      </c>
      <c r="Y186" t="s">
        <v>546</v>
      </c>
      <c r="AA186" t="s">
        <v>67</v>
      </c>
      <c r="AB186" t="s">
        <v>697</v>
      </c>
      <c r="AC186" t="s">
        <v>53</v>
      </c>
      <c r="AD186" s="36">
        <v>46252</v>
      </c>
      <c r="AE186" t="s">
        <v>214</v>
      </c>
      <c r="AF186" s="36">
        <v>46252</v>
      </c>
      <c r="AG186" t="s">
        <v>214</v>
      </c>
      <c r="AH186" s="43">
        <v>100</v>
      </c>
      <c r="AI186" s="43">
        <v>100</v>
      </c>
      <c r="AJ186" s="44">
        <v>100</v>
      </c>
      <c r="AK186" t="s">
        <v>697</v>
      </c>
      <c r="AM186" t="s">
        <v>697</v>
      </c>
      <c r="AN186" s="39" t="str">
        <f>VLOOKUP(M186,[1]municipios!$B:$D,3,0)</f>
        <v>CAMPO GRANDE INTERIOR</v>
      </c>
      <c r="AO186" s="37">
        <f t="shared" ca="1" si="34"/>
        <v>288</v>
      </c>
      <c r="AP186" s="38" t="str">
        <f t="shared" ca="1" si="35"/>
        <v>&gt;50 dias</v>
      </c>
      <c r="AQ186" s="39" t="str">
        <f t="shared" ca="1" si="36"/>
        <v>Dentro</v>
      </c>
      <c r="AR186" s="39" t="str">
        <f t="shared" ca="1" si="37"/>
        <v>Não risco</v>
      </c>
      <c r="AS186" s="37" t="e">
        <f t="shared" si="38"/>
        <v>#VALUE!</v>
      </c>
      <c r="AT186" s="39">
        <f t="shared" ca="1" si="39"/>
        <v>74</v>
      </c>
      <c r="AU186" s="47" t="str">
        <f>VLOOKUP(X186,'pontos focais'!C:D,2,0)</f>
        <v>DCMD Manutenção</v>
      </c>
      <c r="AV186" s="41">
        <f t="shared" si="40"/>
        <v>-46178</v>
      </c>
    </row>
    <row r="187" spans="1:48" x14ac:dyDescent="0.25">
      <c r="A187" t="s">
        <v>882</v>
      </c>
      <c r="B187" t="s">
        <v>53</v>
      </c>
      <c r="C187" t="s">
        <v>96</v>
      </c>
      <c r="D187" t="s">
        <v>35</v>
      </c>
      <c r="E187" s="36">
        <v>46000</v>
      </c>
      <c r="F187" t="s">
        <v>44</v>
      </c>
      <c r="G187" t="s">
        <v>37</v>
      </c>
      <c r="H187" t="s">
        <v>37</v>
      </c>
      <c r="I187" t="s">
        <v>697</v>
      </c>
      <c r="J187" t="s">
        <v>883</v>
      </c>
      <c r="K187" t="s">
        <v>697</v>
      </c>
      <c r="L187" t="s">
        <v>64</v>
      </c>
      <c r="M187" t="s">
        <v>97</v>
      </c>
      <c r="N187" t="s">
        <v>68</v>
      </c>
      <c r="O187" t="s">
        <v>97</v>
      </c>
      <c r="P187" t="s">
        <v>295</v>
      </c>
      <c r="Q187" s="36">
        <v>46178</v>
      </c>
      <c r="R187" t="s">
        <v>682</v>
      </c>
      <c r="S187" s="36">
        <v>46252</v>
      </c>
      <c r="X187" t="s">
        <v>77</v>
      </c>
      <c r="Y187" t="s">
        <v>546</v>
      </c>
      <c r="AA187" t="s">
        <v>44</v>
      </c>
      <c r="AB187" t="s">
        <v>697</v>
      </c>
      <c r="AC187" t="s">
        <v>53</v>
      </c>
      <c r="AD187" s="36">
        <v>46252</v>
      </c>
      <c r="AE187" t="s">
        <v>214</v>
      </c>
      <c r="AF187" s="36">
        <v>46252</v>
      </c>
      <c r="AG187" t="s">
        <v>214</v>
      </c>
      <c r="AH187" s="43">
        <v>25</v>
      </c>
      <c r="AI187" s="43">
        <v>25</v>
      </c>
      <c r="AJ187" s="44">
        <v>25</v>
      </c>
      <c r="AK187" t="s">
        <v>697</v>
      </c>
      <c r="AM187" t="s">
        <v>697</v>
      </c>
      <c r="AN187" s="39" t="str">
        <f>VLOOKUP(M187,[1]municipios!$B:$D,3,0)</f>
        <v>PARANAIBA</v>
      </c>
      <c r="AO187" s="37">
        <f t="shared" ca="1" si="34"/>
        <v>288</v>
      </c>
      <c r="AP187" s="38" t="str">
        <f t="shared" ca="1" si="35"/>
        <v>&gt;50 dias</v>
      </c>
      <c r="AQ187" s="39" t="str">
        <f t="shared" ca="1" si="36"/>
        <v>Dentro</v>
      </c>
      <c r="AR187" s="39" t="str">
        <f t="shared" ca="1" si="37"/>
        <v>Não risco</v>
      </c>
      <c r="AS187" s="37" t="e">
        <f t="shared" si="38"/>
        <v>#VALUE!</v>
      </c>
      <c r="AT187" s="39">
        <f t="shared" ca="1" si="39"/>
        <v>74</v>
      </c>
      <c r="AU187" s="47" t="str">
        <f>VLOOKUP(X187,'pontos focais'!C:D,2,0)</f>
        <v>DCMD Manutenção</v>
      </c>
      <c r="AV187" s="41">
        <f t="shared" si="40"/>
        <v>-46178</v>
      </c>
    </row>
    <row r="188" spans="1:48" x14ac:dyDescent="0.25">
      <c r="A188" t="s">
        <v>884</v>
      </c>
      <c r="B188" t="s">
        <v>53</v>
      </c>
      <c r="C188" t="s">
        <v>96</v>
      </c>
      <c r="D188" t="s">
        <v>35</v>
      </c>
      <c r="E188" s="36">
        <v>46001</v>
      </c>
      <c r="F188" t="s">
        <v>67</v>
      </c>
      <c r="G188" t="s">
        <v>37</v>
      </c>
      <c r="H188" t="s">
        <v>37</v>
      </c>
      <c r="I188" t="s">
        <v>697</v>
      </c>
      <c r="J188" t="s">
        <v>697</v>
      </c>
      <c r="K188" t="s">
        <v>697</v>
      </c>
      <c r="L188" t="s">
        <v>64</v>
      </c>
      <c r="M188" t="s">
        <v>107</v>
      </c>
      <c r="N188" t="s">
        <v>14</v>
      </c>
      <c r="O188" t="s">
        <v>107</v>
      </c>
      <c r="P188" t="s">
        <v>296</v>
      </c>
      <c r="Q188" s="36">
        <v>46178</v>
      </c>
      <c r="R188" t="s">
        <v>683</v>
      </c>
      <c r="S188" s="36">
        <v>46252</v>
      </c>
      <c r="X188" t="s">
        <v>77</v>
      </c>
      <c r="Y188" t="s">
        <v>546</v>
      </c>
      <c r="AA188" t="s">
        <v>67</v>
      </c>
      <c r="AB188" t="s">
        <v>697</v>
      </c>
      <c r="AC188" t="s">
        <v>53</v>
      </c>
      <c r="AD188" s="36">
        <v>46252</v>
      </c>
      <c r="AE188" t="s">
        <v>214</v>
      </c>
      <c r="AF188" s="36">
        <v>46252</v>
      </c>
      <c r="AG188" t="s">
        <v>214</v>
      </c>
      <c r="AH188" s="43">
        <v>100</v>
      </c>
      <c r="AI188" s="43">
        <v>100</v>
      </c>
      <c r="AJ188" s="44">
        <v>100</v>
      </c>
      <c r="AK188" t="s">
        <v>697</v>
      </c>
      <c r="AM188" t="s">
        <v>697</v>
      </c>
      <c r="AN188" s="39" t="str">
        <f>VLOOKUP(M188,[1]municipios!$B:$D,3,0)</f>
        <v>CAMPO GRANDE INTERIOR</v>
      </c>
      <c r="AO188" s="37">
        <f t="shared" ca="1" si="34"/>
        <v>287</v>
      </c>
      <c r="AP188" s="38" t="str">
        <f t="shared" ca="1" si="35"/>
        <v>&gt;50 dias</v>
      </c>
      <c r="AQ188" s="39" t="str">
        <f t="shared" ca="1" si="36"/>
        <v>Dentro</v>
      </c>
      <c r="AR188" s="39" t="str">
        <f t="shared" ca="1" si="37"/>
        <v>Não risco</v>
      </c>
      <c r="AS188" s="37" t="e">
        <f t="shared" si="38"/>
        <v>#VALUE!</v>
      </c>
      <c r="AT188" s="39">
        <f t="shared" ca="1" si="39"/>
        <v>74</v>
      </c>
      <c r="AU188" s="47" t="str">
        <f>VLOOKUP(X188,'pontos focais'!C:D,2,0)</f>
        <v>DCMD Manutenção</v>
      </c>
      <c r="AV188" s="41">
        <f t="shared" si="40"/>
        <v>-46178</v>
      </c>
    </row>
    <row r="189" spans="1:48" x14ac:dyDescent="0.25">
      <c r="A189" t="s">
        <v>927</v>
      </c>
      <c r="B189" t="s">
        <v>53</v>
      </c>
      <c r="C189" t="s">
        <v>34</v>
      </c>
      <c r="D189" t="s">
        <v>78</v>
      </c>
      <c r="E189" s="36">
        <v>46001</v>
      </c>
      <c r="F189" t="s">
        <v>44</v>
      </c>
      <c r="G189" t="s">
        <v>37</v>
      </c>
      <c r="H189" t="s">
        <v>156</v>
      </c>
      <c r="I189" t="s">
        <v>297</v>
      </c>
      <c r="J189" t="s">
        <v>697</v>
      </c>
      <c r="K189" t="s">
        <v>697</v>
      </c>
      <c r="L189" t="s">
        <v>57</v>
      </c>
      <c r="M189" t="s">
        <v>1024</v>
      </c>
      <c r="N189" t="s">
        <v>14</v>
      </c>
      <c r="O189" t="s">
        <v>182</v>
      </c>
      <c r="P189" t="s">
        <v>298</v>
      </c>
      <c r="Q189" s="36">
        <v>46252</v>
      </c>
      <c r="R189" t="s">
        <v>687</v>
      </c>
      <c r="X189" t="s">
        <v>108</v>
      </c>
      <c r="Y189" t="s">
        <v>697</v>
      </c>
      <c r="AA189" t="s">
        <v>44</v>
      </c>
      <c r="AB189" t="s">
        <v>697</v>
      </c>
      <c r="AC189" t="s">
        <v>53</v>
      </c>
      <c r="AD189" s="36">
        <v>46268</v>
      </c>
      <c r="AE189" t="s">
        <v>93</v>
      </c>
      <c r="AF189" s="36">
        <v>46252</v>
      </c>
      <c r="AG189" t="s">
        <v>214</v>
      </c>
      <c r="AH189" s="43">
        <v>100</v>
      </c>
      <c r="AI189" s="43">
        <v>100</v>
      </c>
      <c r="AJ189" s="44">
        <v>50</v>
      </c>
      <c r="AK189" t="s">
        <v>669</v>
      </c>
      <c r="AM189" t="s">
        <v>688</v>
      </c>
      <c r="AN189" s="39" t="str">
        <f>VLOOKUP(M189,[1]municipios!$B:$D,3,0)</f>
        <v>JARDIM</v>
      </c>
      <c r="AO189" s="37">
        <f t="shared" ca="1" si="34"/>
        <v>287</v>
      </c>
      <c r="AP189" s="38" t="str">
        <f t="shared" ca="1" si="35"/>
        <v>&gt;50 dias</v>
      </c>
      <c r="AQ189" s="39" t="str">
        <f t="shared" ca="1" si="36"/>
        <v>Dentro</v>
      </c>
      <c r="AR189" s="39" t="str">
        <f t="shared" ca="1" si="37"/>
        <v>Não risco</v>
      </c>
      <c r="AS189" s="37" t="e">
        <f t="shared" si="38"/>
        <v>#VALUE!</v>
      </c>
      <c r="AT189" s="39">
        <f t="shared" ca="1" si="39"/>
        <v>36</v>
      </c>
      <c r="AU189" s="47" t="str">
        <f>VLOOKUP(X189,'pontos focais'!C:D,2,0)</f>
        <v>DEOP Qualidade</v>
      </c>
      <c r="AV189" s="41">
        <f t="shared" si="40"/>
        <v>-46252</v>
      </c>
    </row>
    <row r="190" spans="1:48" x14ac:dyDescent="0.25">
      <c r="A190" t="s">
        <v>913</v>
      </c>
      <c r="B190" t="s">
        <v>53</v>
      </c>
      <c r="C190" t="s">
        <v>133</v>
      </c>
      <c r="D190" t="s">
        <v>55</v>
      </c>
      <c r="E190" s="36">
        <v>46182</v>
      </c>
      <c r="F190" t="s">
        <v>67</v>
      </c>
      <c r="G190" t="s">
        <v>111</v>
      </c>
      <c r="H190" t="s">
        <v>111</v>
      </c>
      <c r="I190" t="s">
        <v>697</v>
      </c>
      <c r="J190" t="s">
        <v>697</v>
      </c>
      <c r="K190" t="s">
        <v>697</v>
      </c>
      <c r="L190" t="s">
        <v>64</v>
      </c>
      <c r="M190" t="s">
        <v>65</v>
      </c>
      <c r="N190" t="s">
        <v>68</v>
      </c>
      <c r="O190" t="s">
        <v>65</v>
      </c>
      <c r="P190" t="s">
        <v>398</v>
      </c>
      <c r="Q190" s="36">
        <v>46189</v>
      </c>
      <c r="R190" t="s">
        <v>399</v>
      </c>
      <c r="X190" t="s">
        <v>67</v>
      </c>
      <c r="Y190" t="s">
        <v>697</v>
      </c>
      <c r="Z190" t="s">
        <v>400</v>
      </c>
      <c r="AA190" t="s">
        <v>67</v>
      </c>
      <c r="AB190" t="s">
        <v>697</v>
      </c>
      <c r="AC190" t="s">
        <v>53</v>
      </c>
      <c r="AD190" s="36">
        <v>46268</v>
      </c>
      <c r="AE190" t="s">
        <v>93</v>
      </c>
      <c r="AF190" s="36">
        <v>46189</v>
      </c>
      <c r="AG190" t="s">
        <v>113</v>
      </c>
      <c r="AH190" s="43">
        <v>25</v>
      </c>
      <c r="AI190" s="43">
        <v>25</v>
      </c>
      <c r="AJ190" s="44">
        <v>12.5</v>
      </c>
      <c r="AK190" t="s">
        <v>697</v>
      </c>
      <c r="AM190" t="s">
        <v>697</v>
      </c>
      <c r="AN190" s="39" t="str">
        <f>VLOOKUP(M190,[1]municipios!$B:$D,3,0)</f>
        <v>CAMPO GRANDE</v>
      </c>
      <c r="AO190" s="37">
        <f t="shared" ca="1" si="34"/>
        <v>106</v>
      </c>
      <c r="AP190" s="38" t="str">
        <f t="shared" ca="1" si="35"/>
        <v>&gt;50 dias</v>
      </c>
      <c r="AQ190" s="39" t="str">
        <f t="shared" ca="1" si="36"/>
        <v>Dentro</v>
      </c>
      <c r="AR190" s="39" t="str">
        <f t="shared" ca="1" si="37"/>
        <v>Não risco</v>
      </c>
      <c r="AS190" s="37" t="e">
        <f t="shared" si="38"/>
        <v>#VALUE!</v>
      </c>
      <c r="AT190" s="39">
        <f t="shared" ca="1" si="39"/>
        <v>99</v>
      </c>
      <c r="AU190" s="47" t="str">
        <f>VLOOKUP(X190,'pontos focais'!C:D,2,0)</f>
        <v>Institucional</v>
      </c>
      <c r="AV190" s="41">
        <f t="shared" si="40"/>
        <v>-46189</v>
      </c>
    </row>
    <row r="191" spans="1:48" x14ac:dyDescent="0.25">
      <c r="A191" t="s">
        <v>914</v>
      </c>
      <c r="B191" t="s">
        <v>53</v>
      </c>
      <c r="C191" t="s">
        <v>133</v>
      </c>
      <c r="D191" t="s">
        <v>55</v>
      </c>
      <c r="E191" s="36">
        <v>46182</v>
      </c>
      <c r="F191" t="s">
        <v>67</v>
      </c>
      <c r="G191" t="s">
        <v>111</v>
      </c>
      <c r="H191" t="s">
        <v>111</v>
      </c>
      <c r="I191" t="s">
        <v>697</v>
      </c>
      <c r="J191" t="s">
        <v>697</v>
      </c>
      <c r="K191" t="s">
        <v>697</v>
      </c>
      <c r="L191" t="s">
        <v>64</v>
      </c>
      <c r="M191" t="s">
        <v>65</v>
      </c>
      <c r="N191" t="s">
        <v>68</v>
      </c>
      <c r="O191" t="s">
        <v>65</v>
      </c>
      <c r="P191" t="s">
        <v>401</v>
      </c>
      <c r="Q191" s="36">
        <v>46189</v>
      </c>
      <c r="R191" t="s">
        <v>402</v>
      </c>
      <c r="X191" t="s">
        <v>67</v>
      </c>
      <c r="Y191" t="s">
        <v>697</v>
      </c>
      <c r="Z191" t="s">
        <v>403</v>
      </c>
      <c r="AA191" t="s">
        <v>67</v>
      </c>
      <c r="AB191" t="s">
        <v>697</v>
      </c>
      <c r="AC191" t="s">
        <v>53</v>
      </c>
      <c r="AD191" s="36">
        <v>46268</v>
      </c>
      <c r="AE191" t="s">
        <v>93</v>
      </c>
      <c r="AF191" s="36">
        <v>46189</v>
      </c>
      <c r="AG191" t="s">
        <v>113</v>
      </c>
      <c r="AH191" s="43">
        <v>25</v>
      </c>
      <c r="AI191" s="43">
        <v>25</v>
      </c>
      <c r="AJ191" s="44">
        <v>12.5</v>
      </c>
      <c r="AK191" t="s">
        <v>697</v>
      </c>
      <c r="AM191" t="s">
        <v>697</v>
      </c>
      <c r="AN191" s="39" t="str">
        <f>VLOOKUP(M191,[1]municipios!$B:$D,3,0)</f>
        <v>CAMPO GRANDE</v>
      </c>
      <c r="AO191" s="37">
        <f t="shared" ca="1" si="34"/>
        <v>106</v>
      </c>
      <c r="AP191" s="38" t="str">
        <f t="shared" ca="1" si="35"/>
        <v>&gt;50 dias</v>
      </c>
      <c r="AQ191" s="39" t="str">
        <f t="shared" ca="1" si="36"/>
        <v>Dentro</v>
      </c>
      <c r="AR191" s="39" t="str">
        <f t="shared" ca="1" si="37"/>
        <v>Não risco</v>
      </c>
      <c r="AS191" s="37" t="e">
        <f t="shared" si="38"/>
        <v>#VALUE!</v>
      </c>
      <c r="AT191" s="39">
        <f t="shared" ca="1" si="39"/>
        <v>99</v>
      </c>
      <c r="AU191" s="47" t="str">
        <f>VLOOKUP(X191,'pontos focais'!C:D,2,0)</f>
        <v>Institucional</v>
      </c>
      <c r="AV191" s="41">
        <f t="shared" si="40"/>
        <v>-46189</v>
      </c>
    </row>
    <row r="192" spans="1:48" x14ac:dyDescent="0.25">
      <c r="A192" t="s">
        <v>915</v>
      </c>
      <c r="B192" t="s">
        <v>53</v>
      </c>
      <c r="C192" t="s">
        <v>133</v>
      </c>
      <c r="D192" t="s">
        <v>55</v>
      </c>
      <c r="E192" s="36">
        <v>46182</v>
      </c>
      <c r="F192" t="s">
        <v>67</v>
      </c>
      <c r="G192" t="s">
        <v>111</v>
      </c>
      <c r="H192" t="s">
        <v>111</v>
      </c>
      <c r="I192" t="s">
        <v>697</v>
      </c>
      <c r="J192" t="s">
        <v>697</v>
      </c>
      <c r="K192" t="s">
        <v>697</v>
      </c>
      <c r="L192" t="s">
        <v>64</v>
      </c>
      <c r="M192" t="s">
        <v>65</v>
      </c>
      <c r="N192" t="s">
        <v>68</v>
      </c>
      <c r="O192" t="s">
        <v>65</v>
      </c>
      <c r="P192" t="s">
        <v>404</v>
      </c>
      <c r="Q192" s="36">
        <v>46189</v>
      </c>
      <c r="R192" t="s">
        <v>405</v>
      </c>
      <c r="X192" t="s">
        <v>67</v>
      </c>
      <c r="Y192" t="s">
        <v>697</v>
      </c>
      <c r="Z192" t="s">
        <v>406</v>
      </c>
      <c r="AA192" t="s">
        <v>67</v>
      </c>
      <c r="AB192" t="s">
        <v>697</v>
      </c>
      <c r="AC192" t="s">
        <v>53</v>
      </c>
      <c r="AD192" s="36">
        <v>46268</v>
      </c>
      <c r="AE192" t="s">
        <v>93</v>
      </c>
      <c r="AF192" s="36">
        <v>46189</v>
      </c>
      <c r="AG192" t="s">
        <v>113</v>
      </c>
      <c r="AH192" s="43">
        <v>25</v>
      </c>
      <c r="AI192" s="43">
        <v>25</v>
      </c>
      <c r="AJ192" s="44">
        <v>12.5</v>
      </c>
      <c r="AK192" t="s">
        <v>697</v>
      </c>
      <c r="AM192" t="s">
        <v>697</v>
      </c>
      <c r="AN192" s="39" t="str">
        <f>VLOOKUP(M192,[1]municipios!$B:$D,3,0)</f>
        <v>CAMPO GRANDE</v>
      </c>
      <c r="AO192" s="37">
        <f t="shared" ca="1" si="34"/>
        <v>106</v>
      </c>
      <c r="AP192" s="38" t="str">
        <f t="shared" ca="1" si="35"/>
        <v>&gt;50 dias</v>
      </c>
      <c r="AQ192" s="39" t="str">
        <f t="shared" ca="1" si="36"/>
        <v>Dentro</v>
      </c>
      <c r="AR192" s="39" t="str">
        <f t="shared" ca="1" si="37"/>
        <v>Não risco</v>
      </c>
      <c r="AS192" s="37" t="e">
        <f t="shared" si="38"/>
        <v>#VALUE!</v>
      </c>
      <c r="AT192" s="39">
        <f t="shared" ca="1" si="39"/>
        <v>99</v>
      </c>
      <c r="AU192" s="47" t="str">
        <f>VLOOKUP(X192,'pontos focais'!C:D,2,0)</f>
        <v>Institucional</v>
      </c>
      <c r="AV192" s="41">
        <f t="shared" si="40"/>
        <v>-46189</v>
      </c>
    </row>
    <row r="193" spans="1:48" x14ac:dyDescent="0.25">
      <c r="A193" t="s">
        <v>928</v>
      </c>
      <c r="B193" t="s">
        <v>53</v>
      </c>
      <c r="C193" t="s">
        <v>34</v>
      </c>
      <c r="D193" t="s">
        <v>78</v>
      </c>
      <c r="E193" s="36">
        <v>46155</v>
      </c>
      <c r="F193" t="s">
        <v>44</v>
      </c>
      <c r="G193" t="s">
        <v>37</v>
      </c>
      <c r="H193" t="s">
        <v>156</v>
      </c>
      <c r="I193" t="s">
        <v>697</v>
      </c>
      <c r="J193" t="s">
        <v>697</v>
      </c>
      <c r="K193" t="s">
        <v>697</v>
      </c>
      <c r="L193" t="s">
        <v>39</v>
      </c>
      <c r="M193" t="s">
        <v>264</v>
      </c>
      <c r="N193" t="s">
        <v>14</v>
      </c>
      <c r="O193" t="s">
        <v>264</v>
      </c>
      <c r="P193" t="s">
        <v>500</v>
      </c>
      <c r="Q193" s="36">
        <v>46183</v>
      </c>
      <c r="R193" t="s">
        <v>689</v>
      </c>
      <c r="S193" s="36">
        <v>46252</v>
      </c>
      <c r="X193" t="s">
        <v>108</v>
      </c>
      <c r="Y193" t="s">
        <v>546</v>
      </c>
      <c r="Z193" t="s">
        <v>501</v>
      </c>
      <c r="AA193" t="s">
        <v>44</v>
      </c>
      <c r="AB193" t="s">
        <v>697</v>
      </c>
      <c r="AC193" t="s">
        <v>53</v>
      </c>
      <c r="AD193" s="36">
        <v>46252</v>
      </c>
      <c r="AE193" t="s">
        <v>214</v>
      </c>
      <c r="AF193" s="36">
        <v>46252</v>
      </c>
      <c r="AG193" t="s">
        <v>214</v>
      </c>
      <c r="AH193" s="43">
        <v>100</v>
      </c>
      <c r="AI193" s="43">
        <v>100</v>
      </c>
      <c r="AJ193" s="44">
        <v>100</v>
      </c>
      <c r="AK193" t="s">
        <v>697</v>
      </c>
      <c r="AM193" t="s">
        <v>697</v>
      </c>
      <c r="AN193" s="39" t="str">
        <f>VLOOKUP(M193,[1]municipios!$B:$D,3,0)</f>
        <v>DOURADOS</v>
      </c>
      <c r="AO193" s="37">
        <f t="shared" ca="1" si="34"/>
        <v>133</v>
      </c>
      <c r="AP193" s="38" t="str">
        <f t="shared" ca="1" si="35"/>
        <v>&gt;50 dias</v>
      </c>
      <c r="AQ193" s="39" t="str">
        <f t="shared" ca="1" si="36"/>
        <v>Dentro</v>
      </c>
      <c r="AR193" s="39" t="str">
        <f t="shared" ca="1" si="37"/>
        <v>Não risco</v>
      </c>
      <c r="AS193" s="37" t="e">
        <f t="shared" si="38"/>
        <v>#VALUE!</v>
      </c>
      <c r="AT193" s="39">
        <f t="shared" ca="1" si="39"/>
        <v>69</v>
      </c>
      <c r="AU193" s="47" t="str">
        <f>VLOOKUP(X193,'pontos focais'!C:D,2,0)</f>
        <v>DEOP Qualidade</v>
      </c>
      <c r="AV193" s="41">
        <f t="shared" si="40"/>
        <v>-46183</v>
      </c>
    </row>
    <row r="194" spans="1:48" x14ac:dyDescent="0.25">
      <c r="A194" t="s">
        <v>929</v>
      </c>
      <c r="B194" t="s">
        <v>53</v>
      </c>
      <c r="C194" t="s">
        <v>34</v>
      </c>
      <c r="D194" t="s">
        <v>35</v>
      </c>
      <c r="E194" s="36">
        <v>46154</v>
      </c>
      <c r="F194" t="s">
        <v>67</v>
      </c>
      <c r="G194" t="s">
        <v>37</v>
      </c>
      <c r="H194" t="s">
        <v>156</v>
      </c>
      <c r="I194" t="s">
        <v>697</v>
      </c>
      <c r="J194" t="s">
        <v>930</v>
      </c>
      <c r="K194" t="s">
        <v>697</v>
      </c>
      <c r="L194" t="s">
        <v>39</v>
      </c>
      <c r="M194" t="s">
        <v>45</v>
      </c>
      <c r="N194" t="s">
        <v>68</v>
      </c>
      <c r="O194" t="s">
        <v>45</v>
      </c>
      <c r="P194" t="s">
        <v>299</v>
      </c>
      <c r="Q194" s="36">
        <v>46183</v>
      </c>
      <c r="R194" t="s">
        <v>690</v>
      </c>
      <c r="S194" s="36">
        <v>46252</v>
      </c>
      <c r="X194" t="s">
        <v>77</v>
      </c>
      <c r="Y194" t="s">
        <v>546</v>
      </c>
      <c r="Z194" t="s">
        <v>300</v>
      </c>
      <c r="AA194" t="s">
        <v>67</v>
      </c>
      <c r="AB194" t="s">
        <v>697</v>
      </c>
      <c r="AC194" t="s">
        <v>53</v>
      </c>
      <c r="AD194" s="36">
        <v>46252</v>
      </c>
      <c r="AE194" t="s">
        <v>214</v>
      </c>
      <c r="AF194" s="36">
        <v>46252</v>
      </c>
      <c r="AG194" t="s">
        <v>214</v>
      </c>
      <c r="AH194" s="43">
        <v>25</v>
      </c>
      <c r="AI194" s="43">
        <v>25</v>
      </c>
      <c r="AJ194" s="44">
        <v>25</v>
      </c>
      <c r="AK194" t="s">
        <v>697</v>
      </c>
      <c r="AM194" t="s">
        <v>697</v>
      </c>
      <c r="AN194" s="39" t="str">
        <f>VLOOKUP(M194,[1]municipios!$B:$D,3,0)</f>
        <v>DOURADOS</v>
      </c>
      <c r="AO194" s="37">
        <f t="shared" ca="1" si="34"/>
        <v>134</v>
      </c>
      <c r="AP194" s="38" t="str">
        <f t="shared" ca="1" si="35"/>
        <v>&gt;50 dias</v>
      </c>
      <c r="AQ194" s="39" t="str">
        <f t="shared" ca="1" si="36"/>
        <v>Dentro</v>
      </c>
      <c r="AR194" s="39" t="str">
        <f t="shared" ca="1" si="37"/>
        <v>Não risco</v>
      </c>
      <c r="AS194" s="37" t="e">
        <f t="shared" si="38"/>
        <v>#VALUE!</v>
      </c>
      <c r="AT194" s="39">
        <f t="shared" ca="1" si="39"/>
        <v>69</v>
      </c>
      <c r="AU194" s="47" t="str">
        <f>VLOOKUP(X194,'pontos focais'!C:D,2,0)</f>
        <v>DCMD Manutenção</v>
      </c>
      <c r="AV194" s="41">
        <f t="shared" si="40"/>
        <v>-46183</v>
      </c>
    </row>
    <row r="195" spans="1:48" x14ac:dyDescent="0.25">
      <c r="A195" t="s">
        <v>929</v>
      </c>
      <c r="B195" t="s">
        <v>53</v>
      </c>
      <c r="C195" t="s">
        <v>34</v>
      </c>
      <c r="D195" t="s">
        <v>78</v>
      </c>
      <c r="E195" s="36">
        <v>46154</v>
      </c>
      <c r="F195" t="s">
        <v>67</v>
      </c>
      <c r="G195" t="s">
        <v>37</v>
      </c>
      <c r="H195" t="s">
        <v>156</v>
      </c>
      <c r="I195" t="s">
        <v>697</v>
      </c>
      <c r="J195" t="s">
        <v>930</v>
      </c>
      <c r="K195" t="s">
        <v>697</v>
      </c>
      <c r="L195" t="s">
        <v>39</v>
      </c>
      <c r="M195" t="s">
        <v>45</v>
      </c>
      <c r="N195" t="s">
        <v>68</v>
      </c>
      <c r="O195" t="s">
        <v>45</v>
      </c>
      <c r="P195" t="s">
        <v>299</v>
      </c>
      <c r="Q195" s="36">
        <v>46183</v>
      </c>
      <c r="R195" t="s">
        <v>690</v>
      </c>
      <c r="S195" s="36">
        <v>46252</v>
      </c>
      <c r="X195" t="s">
        <v>108</v>
      </c>
      <c r="Y195" t="s">
        <v>546</v>
      </c>
      <c r="Z195" t="s">
        <v>300</v>
      </c>
      <c r="AA195" t="s">
        <v>67</v>
      </c>
      <c r="AB195" t="s">
        <v>697</v>
      </c>
      <c r="AC195" t="s">
        <v>53</v>
      </c>
      <c r="AD195" s="36">
        <v>46252</v>
      </c>
      <c r="AE195" t="s">
        <v>214</v>
      </c>
      <c r="AF195" s="36">
        <v>46252</v>
      </c>
      <c r="AG195" t="s">
        <v>214</v>
      </c>
      <c r="AH195" s="43">
        <v>25</v>
      </c>
      <c r="AI195" s="43">
        <v>25</v>
      </c>
      <c r="AJ195" s="44">
        <v>25</v>
      </c>
      <c r="AK195" t="s">
        <v>697</v>
      </c>
      <c r="AM195" t="s">
        <v>697</v>
      </c>
      <c r="AN195" s="39" t="str">
        <f>VLOOKUP(M195,[1]municipios!$B:$D,3,0)</f>
        <v>DOURADOS</v>
      </c>
      <c r="AO195" s="37">
        <f t="shared" ca="1" si="34"/>
        <v>134</v>
      </c>
      <c r="AP195" s="38" t="str">
        <f t="shared" ca="1" si="35"/>
        <v>&gt;50 dias</v>
      </c>
      <c r="AQ195" s="39" t="str">
        <f t="shared" ca="1" si="36"/>
        <v>Dentro</v>
      </c>
      <c r="AR195" s="39" t="str">
        <f t="shared" ca="1" si="37"/>
        <v>Não risco</v>
      </c>
      <c r="AS195" s="37" t="e">
        <f t="shared" si="38"/>
        <v>#VALUE!</v>
      </c>
      <c r="AT195" s="39">
        <f t="shared" ca="1" si="39"/>
        <v>69</v>
      </c>
      <c r="AU195" s="47" t="s">
        <v>584</v>
      </c>
      <c r="AV195" s="41">
        <f t="shared" si="40"/>
        <v>-46183</v>
      </c>
    </row>
    <row r="196" spans="1:48" x14ac:dyDescent="0.25">
      <c r="A196" t="s">
        <v>916</v>
      </c>
      <c r="B196" t="s">
        <v>53</v>
      </c>
      <c r="C196" t="s">
        <v>133</v>
      </c>
      <c r="D196" t="s">
        <v>118</v>
      </c>
      <c r="E196" s="36">
        <v>46189</v>
      </c>
      <c r="F196" t="s">
        <v>44</v>
      </c>
      <c r="G196" t="s">
        <v>111</v>
      </c>
      <c r="H196" t="s">
        <v>111</v>
      </c>
      <c r="I196" t="s">
        <v>409</v>
      </c>
      <c r="J196" t="s">
        <v>697</v>
      </c>
      <c r="K196" t="s">
        <v>835</v>
      </c>
      <c r="L196" t="s">
        <v>39</v>
      </c>
      <c r="M196" t="s">
        <v>215</v>
      </c>
      <c r="N196" t="s">
        <v>14</v>
      </c>
      <c r="O196" t="s">
        <v>215</v>
      </c>
      <c r="P196" t="s">
        <v>410</v>
      </c>
      <c r="Q196" s="36">
        <v>46192</v>
      </c>
      <c r="R196" t="s">
        <v>411</v>
      </c>
      <c r="X196" t="s">
        <v>113</v>
      </c>
      <c r="Y196" t="s">
        <v>697</v>
      </c>
      <c r="Z196" t="s">
        <v>412</v>
      </c>
      <c r="AA196" t="s">
        <v>44</v>
      </c>
      <c r="AB196" t="s">
        <v>697</v>
      </c>
      <c r="AC196" t="s">
        <v>53</v>
      </c>
      <c r="AD196" s="36">
        <v>46259</v>
      </c>
      <c r="AE196" t="s">
        <v>93</v>
      </c>
      <c r="AF196" s="36">
        <v>46192</v>
      </c>
      <c r="AG196" t="s">
        <v>113</v>
      </c>
      <c r="AH196" s="43">
        <v>100</v>
      </c>
      <c r="AI196" s="43">
        <v>100</v>
      </c>
      <c r="AJ196" s="44">
        <v>50</v>
      </c>
      <c r="AK196" t="s">
        <v>697</v>
      </c>
      <c r="AM196" t="s">
        <v>697</v>
      </c>
      <c r="AN196" s="39" t="str">
        <f>VLOOKUP(M196,[1]municipios!$B:$D,3,0)</f>
        <v>NAVIRAI</v>
      </c>
      <c r="AO196" s="37">
        <f t="shared" ref="AO196:AO205" ca="1" si="41">TODAY()-E196</f>
        <v>99</v>
      </c>
      <c r="AP196" s="38" t="str">
        <f t="shared" ref="AP196:AP205" ca="1" si="42">IF(AO196&lt;=5,"0–5 dias",IF(AO196&lt;=15,"6–15 dias",IF(AO196&lt;=16,"16–30 dias",IF(AO196&lt;=30,"30–50 dias","&gt;50 dias"))))</f>
        <v>&gt;50 dias</v>
      </c>
      <c r="AQ196" s="39" t="str">
        <f t="shared" ref="AQ196:AQ205" ca="1" si="43">IF(U196="","Dentro",(IF(IF(W196="",TODAY(),W196)&lt;=U196,"Dentro","Fora")))</f>
        <v>Dentro</v>
      </c>
      <c r="AR196" s="39" t="str">
        <f t="shared" ref="AR196:AR205" ca="1" si="44">IF(U196="","Não risco",IF((TODAY()-U196)&lt;=7,"Risco","Não risco"))</f>
        <v>Não risco</v>
      </c>
      <c r="AS196" s="37" t="e">
        <f t="shared" ref="AS196:AS205" si="45">IF(SEARCH("integrar",P196)&gt;0,"Sim","Não")</f>
        <v>#VALUE!</v>
      </c>
      <c r="AT196" s="39">
        <f t="shared" ref="AT196:AT205" ca="1" si="46">IF(S196="",TODAY()-Q196,S196-Q196)</f>
        <v>96</v>
      </c>
      <c r="AU196" s="47" t="str">
        <f>VLOOKUP(X196,'pontos focais'!C:D,2,0)</f>
        <v>Central do Cliente</v>
      </c>
      <c r="AV196" s="41">
        <f t="shared" ref="AV196:AV205" si="47">U196-Q196</f>
        <v>-46192</v>
      </c>
    </row>
    <row r="197" spans="1:48" x14ac:dyDescent="0.25">
      <c r="A197" t="s">
        <v>917</v>
      </c>
      <c r="B197" t="s">
        <v>53</v>
      </c>
      <c r="C197" t="s">
        <v>133</v>
      </c>
      <c r="D197" t="s">
        <v>118</v>
      </c>
      <c r="E197" s="36">
        <v>46185</v>
      </c>
      <c r="F197" t="s">
        <v>114</v>
      </c>
      <c r="G197" t="s">
        <v>111</v>
      </c>
      <c r="H197" t="s">
        <v>111</v>
      </c>
      <c r="I197" t="s">
        <v>697</v>
      </c>
      <c r="J197" t="s">
        <v>697</v>
      </c>
      <c r="K197" t="s">
        <v>697</v>
      </c>
      <c r="L197" t="s">
        <v>64</v>
      </c>
      <c r="M197" t="s">
        <v>65</v>
      </c>
      <c r="N197" t="s">
        <v>14</v>
      </c>
      <c r="O197" t="s">
        <v>65</v>
      </c>
      <c r="P197" t="s">
        <v>413</v>
      </c>
      <c r="Q197" s="36">
        <v>46237</v>
      </c>
      <c r="R197" t="s">
        <v>414</v>
      </c>
      <c r="S197" s="36">
        <v>46237</v>
      </c>
      <c r="T197" t="s">
        <v>415</v>
      </c>
      <c r="W197" s="36">
        <v>46237</v>
      </c>
      <c r="X197" t="s">
        <v>71</v>
      </c>
      <c r="Y197" t="s">
        <v>70</v>
      </c>
      <c r="Z197" t="s">
        <v>416</v>
      </c>
      <c r="AA197" t="s">
        <v>114</v>
      </c>
      <c r="AB197" t="s">
        <v>697</v>
      </c>
      <c r="AC197" t="s">
        <v>53</v>
      </c>
      <c r="AD197" s="36">
        <v>46268</v>
      </c>
      <c r="AE197" t="s">
        <v>93</v>
      </c>
      <c r="AF197" s="36">
        <v>46237</v>
      </c>
      <c r="AG197" t="s">
        <v>71</v>
      </c>
      <c r="AH197" s="43">
        <v>100</v>
      </c>
      <c r="AI197" s="43">
        <v>100</v>
      </c>
      <c r="AJ197" s="44">
        <v>100</v>
      </c>
      <c r="AK197" t="s">
        <v>697</v>
      </c>
      <c r="AM197" t="s">
        <v>697</v>
      </c>
      <c r="AN197" s="39" t="str">
        <f>VLOOKUP(M197,[1]municipios!$B:$D,3,0)</f>
        <v>CAMPO GRANDE</v>
      </c>
      <c r="AO197" s="37">
        <f t="shared" ca="1" si="41"/>
        <v>103</v>
      </c>
      <c r="AP197" s="38" t="str">
        <f t="shared" ca="1" si="42"/>
        <v>&gt;50 dias</v>
      </c>
      <c r="AQ197" s="39" t="str">
        <f t="shared" ca="1" si="43"/>
        <v>Dentro</v>
      </c>
      <c r="AR197" s="39" t="str">
        <f t="shared" ca="1" si="44"/>
        <v>Não risco</v>
      </c>
      <c r="AS197" s="37" t="e">
        <f t="shared" si="45"/>
        <v>#VALUE!</v>
      </c>
      <c r="AT197" s="39">
        <f t="shared" ca="1" si="46"/>
        <v>0</v>
      </c>
      <c r="AU197" s="47" t="str">
        <f>VLOOKUP(X197,'pontos focais'!C:D,2,0)</f>
        <v>Central do Cliente</v>
      </c>
      <c r="AV197" s="41">
        <f t="shared" si="47"/>
        <v>-46237</v>
      </c>
    </row>
    <row r="198" spans="1:48" x14ac:dyDescent="0.25">
      <c r="A198" t="s">
        <v>918</v>
      </c>
      <c r="B198" t="s">
        <v>53</v>
      </c>
      <c r="C198" t="s">
        <v>54</v>
      </c>
      <c r="D198" t="s">
        <v>35</v>
      </c>
      <c r="E198" s="36">
        <v>46128</v>
      </c>
      <c r="F198" t="s">
        <v>113</v>
      </c>
      <c r="G198" t="s">
        <v>111</v>
      </c>
      <c r="H198" t="s">
        <v>111</v>
      </c>
      <c r="I198" t="s">
        <v>417</v>
      </c>
      <c r="J198" t="s">
        <v>697</v>
      </c>
      <c r="K198" t="s">
        <v>697</v>
      </c>
      <c r="L198" t="s">
        <v>39</v>
      </c>
      <c r="M198" t="s">
        <v>418</v>
      </c>
      <c r="N198" t="s">
        <v>68</v>
      </c>
      <c r="O198" t="s">
        <v>418</v>
      </c>
      <c r="P198" t="s">
        <v>419</v>
      </c>
      <c r="Q198" s="36">
        <v>46146</v>
      </c>
      <c r="R198" t="s">
        <v>420</v>
      </c>
      <c r="S198" s="36">
        <v>46185</v>
      </c>
      <c r="T198" t="s">
        <v>421</v>
      </c>
      <c r="X198" t="s">
        <v>93</v>
      </c>
      <c r="Y198" t="s">
        <v>112</v>
      </c>
      <c r="Z198" t="s">
        <v>422</v>
      </c>
      <c r="AA198" t="s">
        <v>113</v>
      </c>
      <c r="AB198" t="s">
        <v>697</v>
      </c>
      <c r="AC198" t="s">
        <v>53</v>
      </c>
      <c r="AD198" s="36">
        <v>46268</v>
      </c>
      <c r="AE198" t="s">
        <v>93</v>
      </c>
      <c r="AF198" s="36">
        <v>46185</v>
      </c>
      <c r="AG198" t="s">
        <v>113</v>
      </c>
      <c r="AH198" s="43">
        <v>25</v>
      </c>
      <c r="AI198" s="43">
        <v>25</v>
      </c>
      <c r="AJ198" s="44">
        <v>12.5</v>
      </c>
      <c r="AK198" t="s">
        <v>697</v>
      </c>
      <c r="AM198" t="s">
        <v>697</v>
      </c>
      <c r="AN198" s="39" t="str">
        <f>VLOOKUP(M198,[1]municipios!$B:$D,3,0)</f>
        <v>PONTA PORA</v>
      </c>
      <c r="AO198" s="37">
        <f t="shared" ca="1" si="41"/>
        <v>160</v>
      </c>
      <c r="AP198" s="38" t="str">
        <f t="shared" ca="1" si="42"/>
        <v>&gt;50 dias</v>
      </c>
      <c r="AQ198" s="39" t="str">
        <f t="shared" ca="1" si="43"/>
        <v>Dentro</v>
      </c>
      <c r="AR198" s="39" t="str">
        <f t="shared" ca="1" si="44"/>
        <v>Não risco</v>
      </c>
      <c r="AS198" s="37" t="e">
        <f t="shared" si="45"/>
        <v>#VALUE!</v>
      </c>
      <c r="AT198" s="39">
        <f t="shared" ca="1" si="46"/>
        <v>39</v>
      </c>
      <c r="AU198" s="47" t="str">
        <f>VLOOKUP(X198,'pontos focais'!C:D,2,0)</f>
        <v>DESC Agentes de Relacionamento</v>
      </c>
      <c r="AV198" s="41">
        <f t="shared" si="47"/>
        <v>-46146</v>
      </c>
    </row>
    <row r="199" spans="1:48" x14ac:dyDescent="0.25">
      <c r="A199" t="s">
        <v>918</v>
      </c>
      <c r="B199" t="s">
        <v>53</v>
      </c>
      <c r="C199" t="s">
        <v>133</v>
      </c>
      <c r="D199" t="s">
        <v>55</v>
      </c>
      <c r="E199" s="36">
        <v>46128</v>
      </c>
      <c r="F199" t="s">
        <v>113</v>
      </c>
      <c r="G199" t="s">
        <v>111</v>
      </c>
      <c r="H199" t="s">
        <v>111</v>
      </c>
      <c r="I199" t="s">
        <v>697</v>
      </c>
      <c r="J199" t="s">
        <v>697</v>
      </c>
      <c r="K199" t="s">
        <v>697</v>
      </c>
      <c r="L199" t="s">
        <v>39</v>
      </c>
      <c r="M199" t="s">
        <v>418</v>
      </c>
      <c r="N199" t="s">
        <v>68</v>
      </c>
      <c r="O199" t="s">
        <v>418</v>
      </c>
      <c r="P199" t="s">
        <v>419</v>
      </c>
      <c r="Q199" s="36">
        <v>46146</v>
      </c>
      <c r="R199" t="s">
        <v>423</v>
      </c>
      <c r="S199" s="36">
        <v>46205</v>
      </c>
      <c r="W199" s="36">
        <v>46195</v>
      </c>
      <c r="X199" t="s">
        <v>75</v>
      </c>
      <c r="Y199" t="s">
        <v>112</v>
      </c>
      <c r="Z199" t="s">
        <v>422</v>
      </c>
      <c r="AA199" t="s">
        <v>113</v>
      </c>
      <c r="AB199" t="s">
        <v>697</v>
      </c>
      <c r="AC199" t="s">
        <v>53</v>
      </c>
      <c r="AD199" s="36">
        <v>46268</v>
      </c>
      <c r="AE199" t="s">
        <v>93</v>
      </c>
      <c r="AF199" s="36">
        <v>46205</v>
      </c>
      <c r="AG199" t="s">
        <v>113</v>
      </c>
      <c r="AH199" s="43">
        <v>25</v>
      </c>
      <c r="AI199" s="43">
        <v>25</v>
      </c>
      <c r="AJ199" s="44">
        <v>25</v>
      </c>
      <c r="AK199" t="s">
        <v>697</v>
      </c>
      <c r="AM199" t="s">
        <v>697</v>
      </c>
      <c r="AN199" s="39" t="str">
        <f>VLOOKUP(M199,[1]municipios!$B:$D,3,0)</f>
        <v>PONTA PORA</v>
      </c>
      <c r="AO199" s="37">
        <f t="shared" ca="1" si="41"/>
        <v>160</v>
      </c>
      <c r="AP199" s="38" t="str">
        <f t="shared" ca="1" si="42"/>
        <v>&gt;50 dias</v>
      </c>
      <c r="AQ199" s="39" t="str">
        <f t="shared" ca="1" si="43"/>
        <v>Dentro</v>
      </c>
      <c r="AR199" s="39" t="str">
        <f t="shared" ca="1" si="44"/>
        <v>Não risco</v>
      </c>
      <c r="AS199" s="37" t="e">
        <f t="shared" si="45"/>
        <v>#VALUE!</v>
      </c>
      <c r="AT199" s="39">
        <f t="shared" ca="1" si="46"/>
        <v>59</v>
      </c>
      <c r="AU199" s="47" t="str">
        <f>VLOOKUP(X199,'pontos focais'!C:D,2,0)</f>
        <v>DESC Ofícios</v>
      </c>
      <c r="AV199" s="41">
        <f t="shared" si="47"/>
        <v>-46146</v>
      </c>
    </row>
    <row r="200" spans="1:48" x14ac:dyDescent="0.25">
      <c r="A200" t="s">
        <v>919</v>
      </c>
      <c r="B200" t="s">
        <v>53</v>
      </c>
      <c r="C200" t="s">
        <v>54</v>
      </c>
      <c r="D200" t="s">
        <v>243</v>
      </c>
      <c r="E200" s="36">
        <v>46184</v>
      </c>
      <c r="F200" t="s">
        <v>114</v>
      </c>
      <c r="G200" t="s">
        <v>37</v>
      </c>
      <c r="H200" t="s">
        <v>111</v>
      </c>
      <c r="I200" t="s">
        <v>697</v>
      </c>
      <c r="J200" t="s">
        <v>697</v>
      </c>
      <c r="K200" t="s">
        <v>697</v>
      </c>
      <c r="L200" t="s">
        <v>57</v>
      </c>
      <c r="M200" t="s">
        <v>184</v>
      </c>
      <c r="N200" t="s">
        <v>68</v>
      </c>
      <c r="O200" t="s">
        <v>184</v>
      </c>
      <c r="P200" t="s">
        <v>503</v>
      </c>
      <c r="Q200" s="36">
        <v>46192</v>
      </c>
      <c r="R200" t="s">
        <v>504</v>
      </c>
      <c r="S200" s="36">
        <v>46252</v>
      </c>
      <c r="W200" s="36">
        <v>46252</v>
      </c>
      <c r="X200" t="s">
        <v>491</v>
      </c>
      <c r="Y200" t="s">
        <v>546</v>
      </c>
      <c r="Z200" t="s">
        <v>505</v>
      </c>
      <c r="AA200" t="s">
        <v>114</v>
      </c>
      <c r="AB200" t="s">
        <v>697</v>
      </c>
      <c r="AC200" t="s">
        <v>53</v>
      </c>
      <c r="AD200" s="36">
        <v>46259</v>
      </c>
      <c r="AE200" t="s">
        <v>93</v>
      </c>
      <c r="AF200" s="36">
        <v>46252</v>
      </c>
      <c r="AG200" t="s">
        <v>214</v>
      </c>
      <c r="AH200" s="43">
        <v>25</v>
      </c>
      <c r="AI200" s="43">
        <v>25</v>
      </c>
      <c r="AJ200" s="44">
        <v>25</v>
      </c>
      <c r="AK200" t="s">
        <v>697</v>
      </c>
      <c r="AM200" t="s">
        <v>697</v>
      </c>
      <c r="AN200" s="39" t="str">
        <f>VLOOKUP(M200,[1]municipios!$B:$D,3,0)</f>
        <v>JARDIM</v>
      </c>
      <c r="AO200" s="37">
        <f t="shared" ca="1" si="41"/>
        <v>104</v>
      </c>
      <c r="AP200" s="38" t="str">
        <f t="shared" ca="1" si="42"/>
        <v>&gt;50 dias</v>
      </c>
      <c r="AQ200" s="39" t="str">
        <f t="shared" ca="1" si="43"/>
        <v>Dentro</v>
      </c>
      <c r="AR200" s="39" t="str">
        <f t="shared" ca="1" si="44"/>
        <v>Não risco</v>
      </c>
      <c r="AS200" s="37" t="e">
        <f t="shared" si="45"/>
        <v>#VALUE!</v>
      </c>
      <c r="AT200" s="39">
        <f t="shared" ca="1" si="46"/>
        <v>60</v>
      </c>
      <c r="AU200" s="47" t="str">
        <f>VLOOKUP(X200,'pontos focais'!C:D,2,0)</f>
        <v>Atendimento</v>
      </c>
      <c r="AV200" s="41">
        <f t="shared" si="47"/>
        <v>-46192</v>
      </c>
    </row>
    <row r="201" spans="1:48" x14ac:dyDescent="0.25">
      <c r="A201" t="s">
        <v>919</v>
      </c>
      <c r="B201" t="s">
        <v>53</v>
      </c>
      <c r="C201" t="s">
        <v>74</v>
      </c>
      <c r="D201" t="s">
        <v>35</v>
      </c>
      <c r="E201" s="36">
        <v>46184</v>
      </c>
      <c r="F201" t="s">
        <v>114</v>
      </c>
      <c r="G201" t="s">
        <v>37</v>
      </c>
      <c r="H201" t="s">
        <v>38</v>
      </c>
      <c r="I201" t="s">
        <v>697</v>
      </c>
      <c r="J201" t="s">
        <v>697</v>
      </c>
      <c r="K201" t="s">
        <v>697</v>
      </c>
      <c r="L201" t="s">
        <v>57</v>
      </c>
      <c r="M201" t="s">
        <v>184</v>
      </c>
      <c r="N201" t="s">
        <v>68</v>
      </c>
      <c r="O201" t="s">
        <v>184</v>
      </c>
      <c r="P201" t="s">
        <v>503</v>
      </c>
      <c r="Q201" s="36">
        <v>46192</v>
      </c>
      <c r="R201" t="s">
        <v>644</v>
      </c>
      <c r="S201" s="36">
        <v>46265</v>
      </c>
      <c r="T201" t="s">
        <v>1025</v>
      </c>
      <c r="X201" t="s">
        <v>77</v>
      </c>
      <c r="Y201" t="s">
        <v>972</v>
      </c>
      <c r="Z201" t="s">
        <v>505</v>
      </c>
      <c r="AA201" t="s">
        <v>114</v>
      </c>
      <c r="AB201" t="s">
        <v>697</v>
      </c>
      <c r="AC201" t="s">
        <v>53</v>
      </c>
      <c r="AD201" s="36">
        <v>46265</v>
      </c>
      <c r="AE201" t="s">
        <v>77</v>
      </c>
      <c r="AF201" s="36">
        <v>46265</v>
      </c>
      <c r="AG201" t="s">
        <v>77</v>
      </c>
      <c r="AH201" s="43">
        <v>25</v>
      </c>
      <c r="AI201" s="43">
        <v>25</v>
      </c>
      <c r="AJ201" s="44">
        <v>25</v>
      </c>
      <c r="AK201" t="s">
        <v>697</v>
      </c>
      <c r="AM201" t="s">
        <v>697</v>
      </c>
      <c r="AN201" s="39" t="str">
        <f>VLOOKUP(M201,[1]municipios!$B:$D,3,0)</f>
        <v>JARDIM</v>
      </c>
      <c r="AO201" s="37">
        <f t="shared" ca="1" si="41"/>
        <v>104</v>
      </c>
      <c r="AP201" s="38" t="str">
        <f t="shared" ca="1" si="42"/>
        <v>&gt;50 dias</v>
      </c>
      <c r="AQ201" s="39" t="str">
        <f t="shared" ca="1" si="43"/>
        <v>Dentro</v>
      </c>
      <c r="AR201" s="39" t="str">
        <f t="shared" ca="1" si="44"/>
        <v>Não risco</v>
      </c>
      <c r="AS201" s="37" t="e">
        <f t="shared" si="45"/>
        <v>#VALUE!</v>
      </c>
      <c r="AT201" s="39">
        <f t="shared" ca="1" si="46"/>
        <v>73</v>
      </c>
      <c r="AU201" s="47" t="str">
        <f>VLOOKUP(X201,'pontos focais'!C:D,2,0)</f>
        <v>DCMD Manutenção</v>
      </c>
      <c r="AV201" s="41">
        <f t="shared" si="47"/>
        <v>-46192</v>
      </c>
    </row>
    <row r="202" spans="1:48" x14ac:dyDescent="0.25">
      <c r="A202" t="s">
        <v>919</v>
      </c>
      <c r="B202" t="s">
        <v>53</v>
      </c>
      <c r="C202" t="s">
        <v>34</v>
      </c>
      <c r="D202" t="s">
        <v>78</v>
      </c>
      <c r="E202" s="36">
        <v>46184</v>
      </c>
      <c r="F202" t="s">
        <v>114</v>
      </c>
      <c r="G202" t="s">
        <v>37</v>
      </c>
      <c r="H202" t="s">
        <v>156</v>
      </c>
      <c r="I202" t="s">
        <v>1026</v>
      </c>
      <c r="J202" t="s">
        <v>697</v>
      </c>
      <c r="K202" t="s">
        <v>697</v>
      </c>
      <c r="L202" t="s">
        <v>57</v>
      </c>
      <c r="M202" t="s">
        <v>184</v>
      </c>
      <c r="N202" t="s">
        <v>68</v>
      </c>
      <c r="O202" t="s">
        <v>184</v>
      </c>
      <c r="P202" t="s">
        <v>503</v>
      </c>
      <c r="Q202" s="36">
        <v>46266</v>
      </c>
      <c r="R202" t="s">
        <v>1027</v>
      </c>
      <c r="X202" t="s">
        <v>108</v>
      </c>
      <c r="Y202" t="s">
        <v>697</v>
      </c>
      <c r="Z202" t="s">
        <v>505</v>
      </c>
      <c r="AA202" t="s">
        <v>114</v>
      </c>
      <c r="AB202" t="s">
        <v>697</v>
      </c>
      <c r="AC202" t="s">
        <v>53</v>
      </c>
      <c r="AD202" s="36">
        <v>46266</v>
      </c>
      <c r="AE202" t="s">
        <v>71</v>
      </c>
      <c r="AF202" s="36">
        <v>46266</v>
      </c>
      <c r="AG202" t="s">
        <v>71</v>
      </c>
      <c r="AH202" s="43">
        <v>25</v>
      </c>
      <c r="AI202" s="43">
        <v>25</v>
      </c>
      <c r="AJ202" s="44">
        <v>12.5</v>
      </c>
      <c r="AK202" t="s">
        <v>669</v>
      </c>
      <c r="AM202" t="s">
        <v>688</v>
      </c>
      <c r="AN202" s="39" t="str">
        <f>VLOOKUP(M202,[1]municipios!$B:$D,3,0)</f>
        <v>JARDIM</v>
      </c>
      <c r="AO202" s="37">
        <f t="shared" ca="1" si="41"/>
        <v>104</v>
      </c>
      <c r="AP202" s="38" t="str">
        <f t="shared" ca="1" si="42"/>
        <v>&gt;50 dias</v>
      </c>
      <c r="AQ202" s="39" t="str">
        <f t="shared" ca="1" si="43"/>
        <v>Dentro</v>
      </c>
      <c r="AR202" s="39" t="str">
        <f t="shared" ca="1" si="44"/>
        <v>Não risco</v>
      </c>
      <c r="AS202" s="37" t="e">
        <f t="shared" si="45"/>
        <v>#VALUE!</v>
      </c>
      <c r="AT202" s="39">
        <f t="shared" ca="1" si="46"/>
        <v>22</v>
      </c>
      <c r="AU202" s="47" t="str">
        <f>VLOOKUP(X202,'pontos focais'!C:D,2,0)</f>
        <v>DEOP Qualidade</v>
      </c>
      <c r="AV202" s="41">
        <f t="shared" si="47"/>
        <v>-46266</v>
      </c>
    </row>
    <row r="203" spans="1:48" x14ac:dyDescent="0.25">
      <c r="A203" t="s">
        <v>885</v>
      </c>
      <c r="B203" t="s">
        <v>53</v>
      </c>
      <c r="C203" t="s">
        <v>96</v>
      </c>
      <c r="D203" t="s">
        <v>35</v>
      </c>
      <c r="E203" s="36">
        <v>46092</v>
      </c>
      <c r="F203" t="s">
        <v>113</v>
      </c>
      <c r="G203" t="s">
        <v>37</v>
      </c>
      <c r="H203" t="s">
        <v>37</v>
      </c>
      <c r="I203" t="s">
        <v>697</v>
      </c>
      <c r="J203" t="s">
        <v>886</v>
      </c>
      <c r="K203" t="s">
        <v>697</v>
      </c>
      <c r="L203" t="s">
        <v>39</v>
      </c>
      <c r="M203" t="s">
        <v>160</v>
      </c>
      <c r="N203" t="s">
        <v>102</v>
      </c>
      <c r="O203" t="s">
        <v>160</v>
      </c>
      <c r="P203" t="s">
        <v>304</v>
      </c>
      <c r="Q203" s="36">
        <v>46191</v>
      </c>
      <c r="R203" t="s">
        <v>684</v>
      </c>
      <c r="S203" s="36">
        <v>46252</v>
      </c>
      <c r="V203" s="36">
        <v>46262</v>
      </c>
      <c r="X203" t="s">
        <v>77</v>
      </c>
      <c r="Y203" t="s">
        <v>546</v>
      </c>
      <c r="AA203" t="s">
        <v>113</v>
      </c>
      <c r="AB203" t="s">
        <v>697</v>
      </c>
      <c r="AC203" t="s">
        <v>53</v>
      </c>
      <c r="AD203" s="36">
        <v>46268</v>
      </c>
      <c r="AE203" t="s">
        <v>93</v>
      </c>
      <c r="AF203" s="36">
        <v>46252</v>
      </c>
      <c r="AG203" t="s">
        <v>214</v>
      </c>
      <c r="AH203" s="43">
        <v>100</v>
      </c>
      <c r="AI203" s="43">
        <v>100</v>
      </c>
      <c r="AJ203" s="44">
        <v>100</v>
      </c>
      <c r="AK203" t="s">
        <v>697</v>
      </c>
      <c r="AM203" t="s">
        <v>697</v>
      </c>
      <c r="AN203" s="39" t="str">
        <f>VLOOKUP(M203,[1]municipios!$B:$D,3,0)</f>
        <v>PONTA PORA</v>
      </c>
      <c r="AO203" s="37">
        <f t="shared" ca="1" si="41"/>
        <v>196</v>
      </c>
      <c r="AP203" s="38" t="str">
        <f t="shared" ca="1" si="42"/>
        <v>&gt;50 dias</v>
      </c>
      <c r="AQ203" s="39" t="str">
        <f t="shared" ca="1" si="43"/>
        <v>Dentro</v>
      </c>
      <c r="AR203" s="39" t="str">
        <f t="shared" ca="1" si="44"/>
        <v>Não risco</v>
      </c>
      <c r="AS203" s="37" t="e">
        <f t="shared" si="45"/>
        <v>#VALUE!</v>
      </c>
      <c r="AT203" s="39">
        <f t="shared" ca="1" si="46"/>
        <v>61</v>
      </c>
      <c r="AU203" s="47" t="str">
        <f>VLOOKUP(X203,'pontos focais'!C:D,2,0)</f>
        <v>DCMD Manutenção</v>
      </c>
      <c r="AV203" s="41">
        <f t="shared" si="47"/>
        <v>-46191</v>
      </c>
    </row>
    <row r="204" spans="1:48" x14ac:dyDescent="0.25">
      <c r="A204" t="s">
        <v>920</v>
      </c>
      <c r="B204" t="s">
        <v>53</v>
      </c>
      <c r="C204" t="s">
        <v>133</v>
      </c>
      <c r="D204" t="s">
        <v>118</v>
      </c>
      <c r="E204" s="36">
        <v>46189</v>
      </c>
      <c r="F204" t="s">
        <v>114</v>
      </c>
      <c r="G204" t="s">
        <v>111</v>
      </c>
      <c r="H204" t="s">
        <v>111</v>
      </c>
      <c r="I204" t="s">
        <v>697</v>
      </c>
      <c r="J204" t="s">
        <v>697</v>
      </c>
      <c r="K204" t="s">
        <v>697</v>
      </c>
      <c r="L204" t="s">
        <v>64</v>
      </c>
      <c r="M204" t="s">
        <v>65</v>
      </c>
      <c r="N204" t="s">
        <v>14</v>
      </c>
      <c r="O204" t="s">
        <v>65</v>
      </c>
      <c r="P204" t="s">
        <v>433</v>
      </c>
      <c r="Q204" s="36">
        <v>46237</v>
      </c>
      <c r="R204" t="s">
        <v>434</v>
      </c>
      <c r="S204" s="36">
        <v>46237</v>
      </c>
      <c r="T204" t="s">
        <v>435</v>
      </c>
      <c r="W204" s="36">
        <v>46237</v>
      </c>
      <c r="X204" t="s">
        <v>71</v>
      </c>
      <c r="Y204" t="s">
        <v>70</v>
      </c>
      <c r="Z204" t="s">
        <v>436</v>
      </c>
      <c r="AA204" t="s">
        <v>697</v>
      </c>
      <c r="AB204" t="s">
        <v>697</v>
      </c>
      <c r="AC204" t="s">
        <v>53</v>
      </c>
      <c r="AD204" s="36">
        <v>46268</v>
      </c>
      <c r="AE204" t="s">
        <v>93</v>
      </c>
      <c r="AF204" s="36">
        <v>46237</v>
      </c>
      <c r="AG204" t="s">
        <v>71</v>
      </c>
      <c r="AH204" s="43">
        <v>100</v>
      </c>
      <c r="AI204" s="43">
        <v>100</v>
      </c>
      <c r="AJ204" s="44">
        <v>100</v>
      </c>
      <c r="AK204" t="s">
        <v>697</v>
      </c>
      <c r="AM204" t="s">
        <v>697</v>
      </c>
      <c r="AN204" s="39" t="str">
        <f>VLOOKUP(M204,[1]municipios!$B:$D,3,0)</f>
        <v>CAMPO GRANDE</v>
      </c>
      <c r="AO204" s="37">
        <f t="shared" ca="1" si="41"/>
        <v>99</v>
      </c>
      <c r="AP204" s="38" t="str">
        <f t="shared" ca="1" si="42"/>
        <v>&gt;50 dias</v>
      </c>
      <c r="AQ204" s="39" t="str">
        <f t="shared" ca="1" si="43"/>
        <v>Dentro</v>
      </c>
      <c r="AR204" s="39" t="str">
        <f t="shared" ca="1" si="44"/>
        <v>Não risco</v>
      </c>
      <c r="AS204" s="37" t="e">
        <f t="shared" si="45"/>
        <v>#VALUE!</v>
      </c>
      <c r="AT204" s="39">
        <f t="shared" ca="1" si="46"/>
        <v>0</v>
      </c>
      <c r="AU204" s="47" t="str">
        <f>VLOOKUP(X204,'pontos focais'!C:D,2,0)</f>
        <v>Central do Cliente</v>
      </c>
      <c r="AV204" s="41">
        <f t="shared" si="47"/>
        <v>-46237</v>
      </c>
    </row>
    <row r="205" spans="1:48" x14ac:dyDescent="0.25">
      <c r="A205" t="s">
        <v>933</v>
      </c>
      <c r="B205" t="s">
        <v>53</v>
      </c>
      <c r="C205" t="s">
        <v>34</v>
      </c>
      <c r="D205" t="s">
        <v>78</v>
      </c>
      <c r="E205" s="36">
        <v>46125</v>
      </c>
      <c r="F205" t="s">
        <v>36</v>
      </c>
      <c r="G205" t="s">
        <v>37</v>
      </c>
      <c r="H205" t="s">
        <v>156</v>
      </c>
      <c r="I205" t="s">
        <v>511</v>
      </c>
      <c r="J205" t="s">
        <v>934</v>
      </c>
      <c r="K205" t="s">
        <v>697</v>
      </c>
      <c r="L205" t="s">
        <v>39</v>
      </c>
      <c r="M205" t="s">
        <v>125</v>
      </c>
      <c r="N205" t="s">
        <v>102</v>
      </c>
      <c r="O205" t="s">
        <v>125</v>
      </c>
      <c r="P205" t="s">
        <v>512</v>
      </c>
      <c r="Q205" s="36">
        <v>46252</v>
      </c>
      <c r="R205" t="s">
        <v>693</v>
      </c>
      <c r="X205" t="s">
        <v>108</v>
      </c>
      <c r="Y205" t="s">
        <v>697</v>
      </c>
      <c r="AA205" t="s">
        <v>36</v>
      </c>
      <c r="AB205" t="s">
        <v>697</v>
      </c>
      <c r="AC205" t="s">
        <v>53</v>
      </c>
      <c r="AD205" s="36">
        <v>46259</v>
      </c>
      <c r="AE205" t="s">
        <v>93</v>
      </c>
      <c r="AF205" s="36">
        <v>46252</v>
      </c>
      <c r="AG205" t="s">
        <v>214</v>
      </c>
      <c r="AH205" s="43">
        <v>100</v>
      </c>
      <c r="AI205" s="43">
        <v>100</v>
      </c>
      <c r="AJ205" s="44">
        <v>50</v>
      </c>
      <c r="AK205" t="s">
        <v>669</v>
      </c>
      <c r="AM205" t="s">
        <v>688</v>
      </c>
      <c r="AN205" s="39" t="str">
        <f>VLOOKUP(M205,[1]municipios!$B:$D,3,0)</f>
        <v>PONTA PORA</v>
      </c>
      <c r="AO205" s="37">
        <f t="shared" ca="1" si="41"/>
        <v>163</v>
      </c>
      <c r="AP205" s="38" t="str">
        <f t="shared" ca="1" si="42"/>
        <v>&gt;50 dias</v>
      </c>
      <c r="AQ205" s="39" t="str">
        <f t="shared" ca="1" si="43"/>
        <v>Dentro</v>
      </c>
      <c r="AR205" s="39" t="str">
        <f t="shared" ca="1" si="44"/>
        <v>Não risco</v>
      </c>
      <c r="AS205" s="37" t="e">
        <f t="shared" si="45"/>
        <v>#VALUE!</v>
      </c>
      <c r="AT205" s="39">
        <f t="shared" ca="1" si="46"/>
        <v>36</v>
      </c>
      <c r="AU205" s="47" t="str">
        <f>VLOOKUP(X205,'pontos focais'!C:D,2,0)</f>
        <v>DEOP Qualidade</v>
      </c>
      <c r="AV205" s="41">
        <f t="shared" si="47"/>
        <v>-46252</v>
      </c>
    </row>
    <row r="206" spans="1:48" x14ac:dyDescent="0.25">
      <c r="A206" t="s">
        <v>887</v>
      </c>
      <c r="B206" t="s">
        <v>53</v>
      </c>
      <c r="C206" t="s">
        <v>74</v>
      </c>
      <c r="D206" t="s">
        <v>35</v>
      </c>
      <c r="E206" s="36">
        <v>46085</v>
      </c>
      <c r="F206" t="s">
        <v>113</v>
      </c>
      <c r="G206" t="s">
        <v>37</v>
      </c>
      <c r="H206" t="s">
        <v>37</v>
      </c>
      <c r="I206" t="s">
        <v>697</v>
      </c>
      <c r="J206" t="s">
        <v>697</v>
      </c>
      <c r="K206" t="s">
        <v>697</v>
      </c>
      <c r="L206" t="s">
        <v>64</v>
      </c>
      <c r="M206" t="s">
        <v>205</v>
      </c>
      <c r="N206" t="s">
        <v>80</v>
      </c>
      <c r="O206" t="s">
        <v>205</v>
      </c>
      <c r="P206" t="s">
        <v>305</v>
      </c>
      <c r="Q206" s="36">
        <v>46192</v>
      </c>
      <c r="R206" t="s">
        <v>685</v>
      </c>
      <c r="S206" s="36">
        <v>46252</v>
      </c>
      <c r="X206" t="s">
        <v>77</v>
      </c>
      <c r="Y206" t="s">
        <v>546</v>
      </c>
      <c r="Z206" t="s">
        <v>306</v>
      </c>
      <c r="AA206" t="s">
        <v>113</v>
      </c>
      <c r="AB206" t="s">
        <v>697</v>
      </c>
      <c r="AC206" t="s">
        <v>53</v>
      </c>
      <c r="AD206" s="36">
        <v>46259</v>
      </c>
      <c r="AE206" t="s">
        <v>93</v>
      </c>
      <c r="AF206" s="36">
        <v>46252</v>
      </c>
      <c r="AG206" t="s">
        <v>214</v>
      </c>
      <c r="AH206" s="43">
        <v>100</v>
      </c>
      <c r="AI206" s="43">
        <v>100</v>
      </c>
      <c r="AJ206" s="44">
        <v>100</v>
      </c>
      <c r="AK206" t="s">
        <v>697</v>
      </c>
      <c r="AM206" t="s">
        <v>697</v>
      </c>
      <c r="AN206" s="39" t="str">
        <f>VLOOKUP(M206,[1]municipios!$B:$D,3,0)</f>
        <v>CAMPO GRANDE INTERIOR</v>
      </c>
      <c r="AO206" s="37">
        <f t="shared" ref="AO206:AO215" ca="1" si="48">TODAY()-E206</f>
        <v>203</v>
      </c>
      <c r="AP206" s="38" t="str">
        <f t="shared" ref="AP206:AP215" ca="1" si="49">IF(AO206&lt;=5,"0–5 dias",IF(AO206&lt;=15,"6–15 dias",IF(AO206&lt;=16,"16–30 dias",IF(AO206&lt;=30,"30–50 dias","&gt;50 dias"))))</f>
        <v>&gt;50 dias</v>
      </c>
      <c r="AQ206" s="39" t="str">
        <f t="shared" ref="AQ206:AQ215" ca="1" si="50">IF(U206="","Dentro",(IF(IF(W206="",TODAY(),W206)&lt;=U206,"Dentro","Fora")))</f>
        <v>Dentro</v>
      </c>
      <c r="AR206" s="39" t="str">
        <f t="shared" ref="AR206:AR215" ca="1" si="51">IF(U206="","Não risco",IF((TODAY()-U206)&lt;=7,"Risco","Não risco"))</f>
        <v>Não risco</v>
      </c>
      <c r="AS206" s="37" t="e">
        <f t="shared" ref="AS206:AS215" si="52">IF(SEARCH("integrar",P206)&gt;0,"Sim","Não")</f>
        <v>#VALUE!</v>
      </c>
      <c r="AT206" s="39">
        <f t="shared" ref="AT206:AT215" ca="1" si="53">IF(S206="",TODAY()-Q206,S206-Q206)</f>
        <v>60</v>
      </c>
      <c r="AU206" s="47" t="str">
        <f>VLOOKUP(X206,'pontos focais'!C:D,2,0)</f>
        <v>DCMD Manutenção</v>
      </c>
      <c r="AV206" s="41">
        <f t="shared" ref="AV206:AV215" si="54">U206-Q206</f>
        <v>-46192</v>
      </c>
    </row>
    <row r="207" spans="1:48" x14ac:dyDescent="0.25">
      <c r="A207" t="s">
        <v>921</v>
      </c>
      <c r="B207" t="s">
        <v>53</v>
      </c>
      <c r="C207" t="s">
        <v>133</v>
      </c>
      <c r="D207" t="s">
        <v>118</v>
      </c>
      <c r="E207" s="36">
        <v>46192</v>
      </c>
      <c r="F207" t="s">
        <v>114</v>
      </c>
      <c r="G207" t="s">
        <v>111</v>
      </c>
      <c r="H207" t="s">
        <v>111</v>
      </c>
      <c r="I207" t="s">
        <v>697</v>
      </c>
      <c r="J207" t="s">
        <v>697</v>
      </c>
      <c r="K207" t="s">
        <v>697</v>
      </c>
      <c r="L207" t="s">
        <v>64</v>
      </c>
      <c r="M207" t="s">
        <v>65</v>
      </c>
      <c r="N207" t="s">
        <v>14</v>
      </c>
      <c r="O207" t="s">
        <v>65</v>
      </c>
      <c r="P207" t="s">
        <v>441</v>
      </c>
      <c r="Q207" s="36">
        <v>46237</v>
      </c>
      <c r="R207" t="s">
        <v>434</v>
      </c>
      <c r="S207" s="36">
        <v>46237</v>
      </c>
      <c r="T207" t="s">
        <v>442</v>
      </c>
      <c r="W207" s="36">
        <v>46237</v>
      </c>
      <c r="X207" t="s">
        <v>71</v>
      </c>
      <c r="Y207" t="s">
        <v>70</v>
      </c>
      <c r="Z207" t="s">
        <v>443</v>
      </c>
      <c r="AA207" t="s">
        <v>114</v>
      </c>
      <c r="AB207" t="s">
        <v>697</v>
      </c>
      <c r="AC207" t="s">
        <v>53</v>
      </c>
      <c r="AD207" s="36">
        <v>46268</v>
      </c>
      <c r="AE207" t="s">
        <v>93</v>
      </c>
      <c r="AF207" s="36">
        <v>46237</v>
      </c>
      <c r="AG207" t="s">
        <v>71</v>
      </c>
      <c r="AH207" s="43">
        <v>100</v>
      </c>
      <c r="AI207" s="43">
        <v>100</v>
      </c>
      <c r="AJ207" s="44">
        <v>100</v>
      </c>
      <c r="AK207" t="s">
        <v>697</v>
      </c>
      <c r="AM207" t="s">
        <v>697</v>
      </c>
      <c r="AN207" s="39" t="str">
        <f>VLOOKUP(M207,[1]municipios!$B:$D,3,0)</f>
        <v>CAMPO GRANDE</v>
      </c>
      <c r="AO207" s="37">
        <f t="shared" ca="1" si="48"/>
        <v>96</v>
      </c>
      <c r="AP207" s="38" t="str">
        <f t="shared" ca="1" si="49"/>
        <v>&gt;50 dias</v>
      </c>
      <c r="AQ207" s="39" t="str">
        <f t="shared" ca="1" si="50"/>
        <v>Dentro</v>
      </c>
      <c r="AR207" s="39" t="str">
        <f t="shared" ca="1" si="51"/>
        <v>Não risco</v>
      </c>
      <c r="AS207" s="37" t="e">
        <f t="shared" si="52"/>
        <v>#VALUE!</v>
      </c>
      <c r="AT207" s="39">
        <f t="shared" ca="1" si="53"/>
        <v>0</v>
      </c>
      <c r="AU207" s="47" t="str">
        <f>VLOOKUP(X207,'pontos focais'!C:D,2,0)</f>
        <v>Central do Cliente</v>
      </c>
      <c r="AV207" s="41">
        <f t="shared" si="54"/>
        <v>-46237</v>
      </c>
    </row>
    <row r="208" spans="1:48" x14ac:dyDescent="0.25">
      <c r="A208" t="s">
        <v>888</v>
      </c>
      <c r="B208" t="s">
        <v>53</v>
      </c>
      <c r="C208" t="s">
        <v>96</v>
      </c>
      <c r="D208" t="s">
        <v>35</v>
      </c>
      <c r="E208" s="36">
        <v>46146</v>
      </c>
      <c r="F208" t="s">
        <v>113</v>
      </c>
      <c r="G208" t="s">
        <v>37</v>
      </c>
      <c r="H208" t="s">
        <v>37</v>
      </c>
      <c r="I208" t="s">
        <v>697</v>
      </c>
      <c r="J208" t="s">
        <v>889</v>
      </c>
      <c r="K208" t="s">
        <v>697</v>
      </c>
      <c r="L208" t="s">
        <v>39</v>
      </c>
      <c r="M208" t="s">
        <v>213</v>
      </c>
      <c r="N208" t="s">
        <v>68</v>
      </c>
      <c r="O208" t="s">
        <v>213</v>
      </c>
      <c r="P208" t="s">
        <v>310</v>
      </c>
      <c r="Q208" s="36">
        <v>46192</v>
      </c>
      <c r="R208" t="s">
        <v>890</v>
      </c>
      <c r="S208" s="36">
        <v>46262</v>
      </c>
      <c r="X208" t="s">
        <v>721</v>
      </c>
      <c r="Y208" t="s">
        <v>70</v>
      </c>
      <c r="AA208" t="s">
        <v>113</v>
      </c>
      <c r="AB208" t="s">
        <v>697</v>
      </c>
      <c r="AC208" t="s">
        <v>53</v>
      </c>
      <c r="AD208" s="36">
        <v>46268</v>
      </c>
      <c r="AE208" t="s">
        <v>93</v>
      </c>
      <c r="AF208" s="36">
        <v>46262</v>
      </c>
      <c r="AG208" t="s">
        <v>71</v>
      </c>
      <c r="AH208" s="43">
        <v>25</v>
      </c>
      <c r="AI208" s="43">
        <v>25</v>
      </c>
      <c r="AJ208" s="44">
        <v>25</v>
      </c>
      <c r="AK208" t="s">
        <v>697</v>
      </c>
      <c r="AM208" t="s">
        <v>697</v>
      </c>
      <c r="AN208" s="39" t="str">
        <f>VLOOKUP(M208,[1]municipios!$B:$D,3,0)</f>
        <v>RIO BRILHANTE</v>
      </c>
      <c r="AO208" s="37">
        <f t="shared" ca="1" si="48"/>
        <v>142</v>
      </c>
      <c r="AP208" s="38" t="str">
        <f t="shared" ca="1" si="49"/>
        <v>&gt;50 dias</v>
      </c>
      <c r="AQ208" s="39" t="str">
        <f t="shared" ca="1" si="50"/>
        <v>Dentro</v>
      </c>
      <c r="AR208" s="39" t="str">
        <f t="shared" ca="1" si="51"/>
        <v>Não risco</v>
      </c>
      <c r="AS208" s="37" t="e">
        <f t="shared" si="52"/>
        <v>#VALUE!</v>
      </c>
      <c r="AT208" s="39">
        <f t="shared" ca="1" si="53"/>
        <v>70</v>
      </c>
      <c r="AU208" s="47" t="str">
        <f>VLOOKUP(X208,'pontos focais'!C:D,2,0)</f>
        <v>DCMD Manutenção</v>
      </c>
      <c r="AV208" s="41">
        <f t="shared" si="54"/>
        <v>-46192</v>
      </c>
    </row>
    <row r="209" spans="1:48" x14ac:dyDescent="0.25">
      <c r="A209" t="s">
        <v>922</v>
      </c>
      <c r="B209" t="s">
        <v>53</v>
      </c>
      <c r="C209" t="s">
        <v>54</v>
      </c>
      <c r="D209" t="s">
        <v>55</v>
      </c>
      <c r="E209" s="36">
        <v>46156</v>
      </c>
      <c r="F209" t="s">
        <v>88</v>
      </c>
      <c r="G209" t="s">
        <v>37</v>
      </c>
      <c r="H209" t="s">
        <v>111</v>
      </c>
      <c r="I209" t="s">
        <v>697</v>
      </c>
      <c r="J209" t="s">
        <v>697</v>
      </c>
      <c r="K209" t="s">
        <v>697</v>
      </c>
      <c r="L209" t="s">
        <v>39</v>
      </c>
      <c r="M209" t="s">
        <v>95</v>
      </c>
      <c r="N209" t="s">
        <v>14</v>
      </c>
      <c r="O209" t="s">
        <v>95</v>
      </c>
      <c r="P209" t="s">
        <v>312</v>
      </c>
      <c r="Q209" s="36">
        <v>46195</v>
      </c>
      <c r="R209" t="s">
        <v>517</v>
      </c>
      <c r="S209" s="36">
        <v>46252</v>
      </c>
      <c r="W209" s="36">
        <v>46252</v>
      </c>
      <c r="X209" t="s">
        <v>88</v>
      </c>
      <c r="Y209" t="s">
        <v>546</v>
      </c>
      <c r="Z209" t="s">
        <v>314</v>
      </c>
      <c r="AA209" t="s">
        <v>697</v>
      </c>
      <c r="AB209" t="s">
        <v>697</v>
      </c>
      <c r="AC209" t="s">
        <v>51</v>
      </c>
      <c r="AD209" s="36">
        <v>46259</v>
      </c>
      <c r="AE209" t="s">
        <v>93</v>
      </c>
      <c r="AF209" s="36">
        <v>46252</v>
      </c>
      <c r="AG209" t="s">
        <v>214</v>
      </c>
      <c r="AH209" s="43">
        <v>100</v>
      </c>
      <c r="AI209" s="43">
        <v>100</v>
      </c>
      <c r="AJ209" s="44">
        <v>100</v>
      </c>
      <c r="AK209" t="s">
        <v>697</v>
      </c>
      <c r="AM209" t="s">
        <v>697</v>
      </c>
      <c r="AN209" s="39" t="str">
        <f>VLOOKUP(M209,[1]municipios!$B:$D,3,0)</f>
        <v>NAVIRAI</v>
      </c>
      <c r="AO209" s="37">
        <f t="shared" ca="1" si="48"/>
        <v>132</v>
      </c>
      <c r="AP209" s="38" t="str">
        <f t="shared" ca="1" si="49"/>
        <v>&gt;50 dias</v>
      </c>
      <c r="AQ209" s="39" t="str">
        <f t="shared" ca="1" si="50"/>
        <v>Dentro</v>
      </c>
      <c r="AR209" s="39" t="str">
        <f t="shared" ca="1" si="51"/>
        <v>Não risco</v>
      </c>
      <c r="AS209" s="37" t="e">
        <f t="shared" si="52"/>
        <v>#VALUE!</v>
      </c>
      <c r="AT209" s="39">
        <f t="shared" ca="1" si="53"/>
        <v>57</v>
      </c>
      <c r="AU209" s="47" t="str">
        <f>VLOOKUP(X209,'pontos focais'!C:D,2,0)</f>
        <v>DESC Agentes de Relacionamento</v>
      </c>
      <c r="AV209" s="41">
        <f t="shared" si="54"/>
        <v>-46195</v>
      </c>
    </row>
    <row r="210" spans="1:48" x14ac:dyDescent="0.25">
      <c r="A210" t="s">
        <v>922</v>
      </c>
      <c r="B210" t="s">
        <v>53</v>
      </c>
      <c r="C210" t="s">
        <v>74</v>
      </c>
      <c r="D210" t="s">
        <v>35</v>
      </c>
      <c r="E210" s="36">
        <v>46156</v>
      </c>
      <c r="F210" t="s">
        <v>88</v>
      </c>
      <c r="G210" t="s">
        <v>37</v>
      </c>
      <c r="H210" t="s">
        <v>111</v>
      </c>
      <c r="I210" t="s">
        <v>697</v>
      </c>
      <c r="J210" t="s">
        <v>697</v>
      </c>
      <c r="K210" t="s">
        <v>697</v>
      </c>
      <c r="L210" t="s">
        <v>39</v>
      </c>
      <c r="M210" t="s">
        <v>95</v>
      </c>
      <c r="N210" t="s">
        <v>14</v>
      </c>
      <c r="O210" t="s">
        <v>95</v>
      </c>
      <c r="P210" t="s">
        <v>312</v>
      </c>
      <c r="Q210" s="36">
        <v>46195</v>
      </c>
      <c r="R210" t="s">
        <v>313</v>
      </c>
      <c r="S210" s="36">
        <v>46253</v>
      </c>
      <c r="T210" t="s">
        <v>686</v>
      </c>
      <c r="V210" s="36">
        <v>46248</v>
      </c>
      <c r="W210" s="36">
        <v>46253</v>
      </c>
      <c r="X210" t="s">
        <v>77</v>
      </c>
      <c r="Y210" t="s">
        <v>546</v>
      </c>
      <c r="Z210" t="s">
        <v>314</v>
      </c>
      <c r="AA210" t="s">
        <v>697</v>
      </c>
      <c r="AB210" t="s">
        <v>697</v>
      </c>
      <c r="AC210" t="s">
        <v>51</v>
      </c>
      <c r="AD210" s="36">
        <v>46259</v>
      </c>
      <c r="AE210" t="s">
        <v>93</v>
      </c>
      <c r="AF210" s="36">
        <v>46253</v>
      </c>
      <c r="AG210" t="s">
        <v>214</v>
      </c>
      <c r="AH210" s="43">
        <v>100</v>
      </c>
      <c r="AI210" s="43">
        <v>100</v>
      </c>
      <c r="AJ210" s="44">
        <v>100</v>
      </c>
      <c r="AK210" t="s">
        <v>697</v>
      </c>
      <c r="AM210" t="s">
        <v>697</v>
      </c>
      <c r="AN210" s="39" t="str">
        <f>VLOOKUP(M210,[1]municipios!$B:$D,3,0)</f>
        <v>NAVIRAI</v>
      </c>
      <c r="AO210" s="37">
        <f t="shared" ca="1" si="48"/>
        <v>132</v>
      </c>
      <c r="AP210" s="38" t="str">
        <f t="shared" ca="1" si="49"/>
        <v>&gt;50 dias</v>
      </c>
      <c r="AQ210" s="39" t="str">
        <f t="shared" ca="1" si="50"/>
        <v>Dentro</v>
      </c>
      <c r="AR210" s="39" t="str">
        <f t="shared" ca="1" si="51"/>
        <v>Não risco</v>
      </c>
      <c r="AS210" s="37" t="e">
        <f t="shared" si="52"/>
        <v>#VALUE!</v>
      </c>
      <c r="AT210" s="39">
        <f t="shared" ca="1" si="53"/>
        <v>58</v>
      </c>
      <c r="AU210" s="47" t="str">
        <f>VLOOKUP(X210,'pontos focais'!C:D,2,0)</f>
        <v>DCMD Manutenção</v>
      </c>
      <c r="AV210" s="41">
        <f t="shared" si="54"/>
        <v>-46195</v>
      </c>
    </row>
    <row r="211" spans="1:48" x14ac:dyDescent="0.25">
      <c r="A211" t="s">
        <v>922</v>
      </c>
      <c r="B211" t="s">
        <v>53</v>
      </c>
      <c r="C211" t="s">
        <v>34</v>
      </c>
      <c r="D211" t="s">
        <v>78</v>
      </c>
      <c r="E211" s="36">
        <v>46156</v>
      </c>
      <c r="F211" t="s">
        <v>88</v>
      </c>
      <c r="G211" t="s">
        <v>37</v>
      </c>
      <c r="H211" t="s">
        <v>156</v>
      </c>
      <c r="I211" t="s">
        <v>516</v>
      </c>
      <c r="J211" t="s">
        <v>697</v>
      </c>
      <c r="K211" t="s">
        <v>697</v>
      </c>
      <c r="L211" t="s">
        <v>39</v>
      </c>
      <c r="M211" t="s">
        <v>95</v>
      </c>
      <c r="N211" t="s">
        <v>14</v>
      </c>
      <c r="O211" t="s">
        <v>95</v>
      </c>
      <c r="P211" t="s">
        <v>312</v>
      </c>
      <c r="Q211" s="36">
        <v>46253</v>
      </c>
      <c r="R211" t="s">
        <v>694</v>
      </c>
      <c r="X211" t="s">
        <v>108</v>
      </c>
      <c r="Y211" t="s">
        <v>697</v>
      </c>
      <c r="Z211" t="s">
        <v>314</v>
      </c>
      <c r="AA211" t="s">
        <v>697</v>
      </c>
      <c r="AB211" t="s">
        <v>697</v>
      </c>
      <c r="AC211" t="s">
        <v>51</v>
      </c>
      <c r="AD211" s="36">
        <v>46259</v>
      </c>
      <c r="AE211" t="s">
        <v>93</v>
      </c>
      <c r="AF211" s="36">
        <v>46253</v>
      </c>
      <c r="AG211" t="s">
        <v>214</v>
      </c>
      <c r="AH211" s="43">
        <v>100</v>
      </c>
      <c r="AI211" s="43">
        <v>100</v>
      </c>
      <c r="AJ211" s="44">
        <v>50</v>
      </c>
      <c r="AK211" t="s">
        <v>669</v>
      </c>
      <c r="AM211" t="s">
        <v>688</v>
      </c>
      <c r="AN211" s="39" t="str">
        <f>VLOOKUP(M211,[1]municipios!$B:$D,3,0)</f>
        <v>NAVIRAI</v>
      </c>
      <c r="AO211" s="37">
        <f t="shared" ca="1" si="48"/>
        <v>132</v>
      </c>
      <c r="AP211" s="38" t="str">
        <f t="shared" ca="1" si="49"/>
        <v>&gt;50 dias</v>
      </c>
      <c r="AQ211" s="39" t="str">
        <f t="shared" ca="1" si="50"/>
        <v>Dentro</v>
      </c>
      <c r="AR211" s="39" t="str">
        <f t="shared" ca="1" si="51"/>
        <v>Não risco</v>
      </c>
      <c r="AS211" s="37" t="e">
        <f t="shared" si="52"/>
        <v>#VALUE!</v>
      </c>
      <c r="AT211" s="39">
        <f t="shared" ca="1" si="53"/>
        <v>35</v>
      </c>
      <c r="AU211" s="47" t="str">
        <f>VLOOKUP(X211,'pontos focais'!C:D,2,0)</f>
        <v>DEOP Qualidade</v>
      </c>
      <c r="AV211" s="41">
        <f t="shared" si="54"/>
        <v>-46253</v>
      </c>
    </row>
    <row r="212" spans="1:48" x14ac:dyDescent="0.25">
      <c r="A212" t="s">
        <v>923</v>
      </c>
      <c r="B212" t="s">
        <v>53</v>
      </c>
      <c r="C212" t="s">
        <v>54</v>
      </c>
      <c r="D212" t="s">
        <v>118</v>
      </c>
      <c r="E212" s="36">
        <v>46128</v>
      </c>
      <c r="F212" t="s">
        <v>113</v>
      </c>
      <c r="G212" t="s">
        <v>111</v>
      </c>
      <c r="H212" t="s">
        <v>111</v>
      </c>
      <c r="I212" t="s">
        <v>335</v>
      </c>
      <c r="J212" t="s">
        <v>697</v>
      </c>
      <c r="K212" t="s">
        <v>697</v>
      </c>
      <c r="L212" t="s">
        <v>39</v>
      </c>
      <c r="M212" t="s">
        <v>160</v>
      </c>
      <c r="N212" t="s">
        <v>14</v>
      </c>
      <c r="O212" t="s">
        <v>160</v>
      </c>
      <c r="P212" t="s">
        <v>448</v>
      </c>
      <c r="Q212" s="36">
        <v>46147</v>
      </c>
      <c r="R212" t="s">
        <v>449</v>
      </c>
      <c r="S212" s="36">
        <v>46148</v>
      </c>
      <c r="X212" t="s">
        <v>103</v>
      </c>
      <c r="Y212" t="s">
        <v>216</v>
      </c>
      <c r="Z212" t="s">
        <v>450</v>
      </c>
      <c r="AA212" t="s">
        <v>451</v>
      </c>
      <c r="AB212" t="s">
        <v>697</v>
      </c>
      <c r="AC212" t="s">
        <v>53</v>
      </c>
      <c r="AD212" s="36">
        <v>46268</v>
      </c>
      <c r="AE212" t="s">
        <v>93</v>
      </c>
      <c r="AF212" s="36">
        <v>46148</v>
      </c>
      <c r="AG212" t="s">
        <v>93</v>
      </c>
      <c r="AH212" s="43">
        <v>100</v>
      </c>
      <c r="AI212" s="43">
        <v>100</v>
      </c>
      <c r="AJ212" s="44">
        <v>50</v>
      </c>
      <c r="AK212" t="s">
        <v>697</v>
      </c>
      <c r="AM212" t="s">
        <v>697</v>
      </c>
      <c r="AN212" s="39" t="str">
        <f>VLOOKUP(M212,[1]municipios!$B:$D,3,0)</f>
        <v>PONTA PORA</v>
      </c>
      <c r="AO212" s="37">
        <f t="shared" ca="1" si="48"/>
        <v>160</v>
      </c>
      <c r="AP212" s="38" t="str">
        <f t="shared" ca="1" si="49"/>
        <v>&gt;50 dias</v>
      </c>
      <c r="AQ212" s="39" t="str">
        <f t="shared" ca="1" si="50"/>
        <v>Dentro</v>
      </c>
      <c r="AR212" s="39" t="str">
        <f t="shared" ca="1" si="51"/>
        <v>Não risco</v>
      </c>
      <c r="AS212" s="37" t="e">
        <f t="shared" si="52"/>
        <v>#VALUE!</v>
      </c>
      <c r="AT212" s="39">
        <f t="shared" ca="1" si="53"/>
        <v>1</v>
      </c>
      <c r="AU212" s="47" t="str">
        <f>VLOOKUP(X212,'pontos focais'!C:D,2,0)</f>
        <v>Central do Cliente</v>
      </c>
      <c r="AV212" s="41">
        <f t="shared" si="54"/>
        <v>-46147</v>
      </c>
    </row>
    <row r="213" spans="1:48" x14ac:dyDescent="0.25">
      <c r="A213" t="s">
        <v>924</v>
      </c>
      <c r="B213" t="s">
        <v>53</v>
      </c>
      <c r="C213" t="s">
        <v>54</v>
      </c>
      <c r="D213" t="s">
        <v>118</v>
      </c>
      <c r="E213" s="36">
        <v>46126</v>
      </c>
      <c r="F213" t="s">
        <v>56</v>
      </c>
      <c r="G213" t="s">
        <v>111</v>
      </c>
      <c r="H213" t="s">
        <v>111</v>
      </c>
      <c r="I213" t="s">
        <v>452</v>
      </c>
      <c r="J213" t="s">
        <v>697</v>
      </c>
      <c r="K213" t="s">
        <v>697</v>
      </c>
      <c r="L213" t="s">
        <v>57</v>
      </c>
      <c r="M213" t="s">
        <v>50</v>
      </c>
      <c r="N213" t="s">
        <v>14</v>
      </c>
      <c r="O213" t="s">
        <v>50</v>
      </c>
      <c r="P213" t="s">
        <v>453</v>
      </c>
      <c r="Q213" s="36">
        <v>46147</v>
      </c>
      <c r="R213" t="s">
        <v>454</v>
      </c>
      <c r="X213" t="s">
        <v>113</v>
      </c>
      <c r="Y213" t="s">
        <v>697</v>
      </c>
      <c r="Z213" t="s">
        <v>455</v>
      </c>
      <c r="AA213" t="s">
        <v>456</v>
      </c>
      <c r="AB213" t="s">
        <v>697</v>
      </c>
      <c r="AC213" t="s">
        <v>53</v>
      </c>
      <c r="AD213" s="36">
        <v>46249</v>
      </c>
      <c r="AE213" t="s">
        <v>93</v>
      </c>
      <c r="AF213" s="36">
        <v>46147</v>
      </c>
      <c r="AG213" t="s">
        <v>113</v>
      </c>
      <c r="AH213" s="43">
        <v>100</v>
      </c>
      <c r="AI213" s="43">
        <v>100</v>
      </c>
      <c r="AJ213" s="44">
        <v>50</v>
      </c>
      <c r="AK213" t="s">
        <v>697</v>
      </c>
      <c r="AM213" t="s">
        <v>697</v>
      </c>
      <c r="AN213" s="39" t="str">
        <f>VLOOKUP(M213,[1]municipios!$B:$D,3,0)</f>
        <v>AQUIDAUANA</v>
      </c>
      <c r="AO213" s="37">
        <f t="shared" ca="1" si="48"/>
        <v>162</v>
      </c>
      <c r="AP213" s="38" t="str">
        <f t="shared" ca="1" si="49"/>
        <v>&gt;50 dias</v>
      </c>
      <c r="AQ213" s="39" t="str">
        <f t="shared" ca="1" si="50"/>
        <v>Dentro</v>
      </c>
      <c r="AR213" s="39" t="str">
        <f t="shared" ca="1" si="51"/>
        <v>Não risco</v>
      </c>
      <c r="AS213" s="37" t="e">
        <f t="shared" si="52"/>
        <v>#VALUE!</v>
      </c>
      <c r="AT213" s="39">
        <f t="shared" ca="1" si="53"/>
        <v>141</v>
      </c>
      <c r="AU213" s="47" t="str">
        <f>VLOOKUP(X213,'pontos focais'!C:D,2,0)</f>
        <v>Central do Cliente</v>
      </c>
      <c r="AV213" s="41">
        <f t="shared" si="54"/>
        <v>-46147</v>
      </c>
    </row>
    <row r="214" spans="1:48" x14ac:dyDescent="0.25">
      <c r="A214" t="s">
        <v>925</v>
      </c>
      <c r="B214" t="s">
        <v>53</v>
      </c>
      <c r="C214" t="s">
        <v>54</v>
      </c>
      <c r="D214" t="s">
        <v>118</v>
      </c>
      <c r="E214" s="36">
        <v>46126</v>
      </c>
      <c r="F214" t="s">
        <v>56</v>
      </c>
      <c r="G214" t="s">
        <v>111</v>
      </c>
      <c r="H214" t="s">
        <v>111</v>
      </c>
      <c r="I214" t="s">
        <v>462</v>
      </c>
      <c r="J214" t="s">
        <v>697</v>
      </c>
      <c r="K214" t="s">
        <v>697</v>
      </c>
      <c r="L214" t="s">
        <v>57</v>
      </c>
      <c r="M214" t="s">
        <v>161</v>
      </c>
      <c r="N214" t="s">
        <v>14</v>
      </c>
      <c r="O214" t="s">
        <v>161</v>
      </c>
      <c r="P214" t="s">
        <v>463</v>
      </c>
      <c r="Q214" s="36">
        <v>46147</v>
      </c>
      <c r="R214" t="s">
        <v>464</v>
      </c>
      <c r="X214" t="s">
        <v>56</v>
      </c>
      <c r="Y214" t="s">
        <v>697</v>
      </c>
      <c r="Z214" t="s">
        <v>465</v>
      </c>
      <c r="AA214" t="s">
        <v>456</v>
      </c>
      <c r="AB214" t="s">
        <v>697</v>
      </c>
      <c r="AC214" t="s">
        <v>53</v>
      </c>
      <c r="AD214" s="36">
        <v>46249</v>
      </c>
      <c r="AE214" t="s">
        <v>93</v>
      </c>
      <c r="AF214" s="36">
        <v>46147</v>
      </c>
      <c r="AG214" t="s">
        <v>113</v>
      </c>
      <c r="AH214" s="43">
        <v>100</v>
      </c>
      <c r="AI214" s="43">
        <v>100</v>
      </c>
      <c r="AJ214" s="44">
        <v>50</v>
      </c>
      <c r="AK214" t="s">
        <v>697</v>
      </c>
      <c r="AM214" t="s">
        <v>697</v>
      </c>
      <c r="AN214" s="39" t="str">
        <f>VLOOKUP(M214,[1]municipios!$B:$D,3,0)</f>
        <v>AQUIDAUANA</v>
      </c>
      <c r="AO214" s="37">
        <f t="shared" ca="1" si="48"/>
        <v>162</v>
      </c>
      <c r="AP214" s="38" t="str">
        <f t="shared" ca="1" si="49"/>
        <v>&gt;50 dias</v>
      </c>
      <c r="AQ214" s="39" t="str">
        <f t="shared" ca="1" si="50"/>
        <v>Dentro</v>
      </c>
      <c r="AR214" s="39" t="str">
        <f t="shared" ca="1" si="51"/>
        <v>Não risco</v>
      </c>
      <c r="AS214" s="37" t="e">
        <f t="shared" si="52"/>
        <v>#VALUE!</v>
      </c>
      <c r="AT214" s="39">
        <f t="shared" ca="1" si="53"/>
        <v>141</v>
      </c>
      <c r="AU214" s="47" t="str">
        <f>VLOOKUP(X214,'pontos focais'!C:D,2,0)</f>
        <v>DESC Agentes de Relacionamento</v>
      </c>
      <c r="AV214" s="41">
        <f t="shared" si="54"/>
        <v>-46147</v>
      </c>
    </row>
    <row r="215" spans="1:48" x14ac:dyDescent="0.25">
      <c r="A215" t="s">
        <v>926</v>
      </c>
      <c r="B215" t="s">
        <v>53</v>
      </c>
      <c r="C215" t="s">
        <v>54</v>
      </c>
      <c r="D215" t="s">
        <v>118</v>
      </c>
      <c r="E215" s="36">
        <v>46198</v>
      </c>
      <c r="F215" t="s">
        <v>113</v>
      </c>
      <c r="G215" t="s">
        <v>111</v>
      </c>
      <c r="H215" t="s">
        <v>111</v>
      </c>
      <c r="I215" t="s">
        <v>204</v>
      </c>
      <c r="J215" t="s">
        <v>697</v>
      </c>
      <c r="K215" t="s">
        <v>697</v>
      </c>
      <c r="L215" t="s">
        <v>64</v>
      </c>
      <c r="M215" t="s">
        <v>205</v>
      </c>
      <c r="N215" t="s">
        <v>14</v>
      </c>
      <c r="O215" t="s">
        <v>205</v>
      </c>
      <c r="P215" t="s">
        <v>466</v>
      </c>
      <c r="Q215" s="36">
        <v>46198</v>
      </c>
      <c r="R215" t="s">
        <v>467</v>
      </c>
      <c r="X215" t="s">
        <v>113</v>
      </c>
      <c r="Y215" t="s">
        <v>697</v>
      </c>
      <c r="Z215" t="s">
        <v>468</v>
      </c>
      <c r="AA215" t="s">
        <v>113</v>
      </c>
      <c r="AB215" t="s">
        <v>697</v>
      </c>
      <c r="AC215" t="s">
        <v>53</v>
      </c>
      <c r="AD215" s="36">
        <v>46259</v>
      </c>
      <c r="AE215" t="s">
        <v>93</v>
      </c>
      <c r="AF215" s="36">
        <v>46198</v>
      </c>
      <c r="AG215" t="s">
        <v>113</v>
      </c>
      <c r="AH215" s="43">
        <v>100</v>
      </c>
      <c r="AI215" s="43">
        <v>100</v>
      </c>
      <c r="AJ215" s="44">
        <v>50</v>
      </c>
      <c r="AK215" t="s">
        <v>697</v>
      </c>
      <c r="AM215" t="s">
        <v>697</v>
      </c>
      <c r="AN215" s="39" t="str">
        <f>VLOOKUP(M215,[1]municipios!$B:$D,3,0)</f>
        <v>CAMPO GRANDE INTERIOR</v>
      </c>
      <c r="AO215" s="37">
        <f t="shared" ca="1" si="48"/>
        <v>90</v>
      </c>
      <c r="AP215" s="38" t="str">
        <f t="shared" ca="1" si="49"/>
        <v>&gt;50 dias</v>
      </c>
      <c r="AQ215" s="39" t="str">
        <f t="shared" ca="1" si="50"/>
        <v>Dentro</v>
      </c>
      <c r="AR215" s="39" t="str">
        <f t="shared" ca="1" si="51"/>
        <v>Não risco</v>
      </c>
      <c r="AS215" s="37" t="e">
        <f t="shared" si="52"/>
        <v>#VALUE!</v>
      </c>
      <c r="AT215" s="39">
        <f t="shared" ca="1" si="53"/>
        <v>90</v>
      </c>
      <c r="AU215" s="47" t="str">
        <f>VLOOKUP(X215,'pontos focais'!C:D,2,0)</f>
        <v>Central do Cliente</v>
      </c>
      <c r="AV215" s="41">
        <f t="shared" si="54"/>
        <v>-46198</v>
      </c>
    </row>
  </sheetData>
  <autoFilter ref="A1:AV215" xr:uid="{8679240A-AF23-4B2A-837C-0B0E7B0C3310}"/>
  <sortState xmlns:xlrd2="http://schemas.microsoft.com/office/spreadsheetml/2017/richdata2" ref="A2:AJ171">
    <sortCondition ref="A2:A171"/>
  </sortState>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1ED6-C5BF-40FE-BC72-2052BB032235}">
  <dimension ref="A3:N192"/>
  <sheetViews>
    <sheetView showGridLines="0" tabSelected="1" topLeftCell="A93" zoomScale="85" zoomScaleNormal="85" workbookViewId="0">
      <selection activeCell="K100" sqref="K100"/>
    </sheetView>
  </sheetViews>
  <sheetFormatPr defaultRowHeight="15" x14ac:dyDescent="0.25"/>
  <cols>
    <col min="1" max="1" width="26.140625" customWidth="1"/>
    <col min="2" max="2" width="18.7109375" bestFit="1" customWidth="1"/>
    <col min="3" max="3" width="9.85546875" bestFit="1" customWidth="1"/>
    <col min="4" max="4" width="26.7109375" bestFit="1" customWidth="1"/>
    <col min="5" max="5" width="17.7109375" bestFit="1" customWidth="1"/>
    <col min="6" max="6" width="7.42578125" customWidth="1"/>
    <col min="7" max="7" width="4.5703125" customWidth="1"/>
    <col min="8" max="8" width="18.42578125" bestFit="1" customWidth="1"/>
    <col min="9" max="9" width="17.7109375" bestFit="1" customWidth="1"/>
    <col min="10" max="10" width="23.5703125" customWidth="1"/>
    <col min="11" max="11" width="26.7109375" bestFit="1" customWidth="1"/>
    <col min="12" max="12" width="17.7109375" bestFit="1" customWidth="1"/>
    <col min="13" max="13" width="17.42578125" customWidth="1"/>
    <col min="14" max="14" width="19.28515625" customWidth="1"/>
  </cols>
  <sheetData>
    <row r="3" spans="1:11" ht="33" customHeight="1" x14ac:dyDescent="0.25">
      <c r="B3" s="1" t="s">
        <v>527</v>
      </c>
      <c r="H3" s="4" t="s">
        <v>543</v>
      </c>
      <c r="I3" s="4" t="s">
        <v>529</v>
      </c>
      <c r="J3" s="4" t="s">
        <v>532</v>
      </c>
      <c r="K3" s="4" t="s">
        <v>531</v>
      </c>
    </row>
    <row r="4" spans="1:11" x14ac:dyDescent="0.25">
      <c r="B4" t="s">
        <v>37</v>
      </c>
      <c r="C4" t="s">
        <v>111</v>
      </c>
      <c r="D4" t="s">
        <v>156</v>
      </c>
      <c r="E4" t="s">
        <v>525</v>
      </c>
      <c r="H4" s="5">
        <f>B5</f>
        <v>30</v>
      </c>
      <c r="I4" s="5">
        <f>C5</f>
        <v>154</v>
      </c>
      <c r="J4" s="5">
        <f>D5</f>
        <v>26</v>
      </c>
      <c r="K4" s="5">
        <f>B13</f>
        <v>173</v>
      </c>
    </row>
    <row r="5" spans="1:11" x14ac:dyDescent="0.25">
      <c r="A5" t="s">
        <v>528</v>
      </c>
      <c r="B5" s="3">
        <v>30</v>
      </c>
      <c r="C5" s="3">
        <v>154</v>
      </c>
      <c r="D5" s="3">
        <v>26</v>
      </c>
      <c r="E5">
        <v>210</v>
      </c>
      <c r="H5" s="6">
        <f>H4/$E$5</f>
        <v>0.14285714285714285</v>
      </c>
      <c r="I5" s="6">
        <f t="shared" ref="I5" si="0">I4/$E$5</f>
        <v>0.73333333333333328</v>
      </c>
      <c r="J5" s="6">
        <f>J4/$E$5</f>
        <v>0.12380952380952381</v>
      </c>
      <c r="K5" s="6">
        <f>K4/D13</f>
        <v>0.82380952380952377</v>
      </c>
    </row>
    <row r="7" spans="1:11" x14ac:dyDescent="0.25">
      <c r="K7" s="35">
        <f>GETPIVOTDATA("Status_Acao",$A$8,"Expectativa","Fora")/GETPIVOTDATA("Status_Acao",$A$8)</f>
        <v>0.1761904761904762</v>
      </c>
    </row>
    <row r="8" spans="1:11" ht="45" x14ac:dyDescent="0.25">
      <c r="A8" s="1" t="s">
        <v>528</v>
      </c>
      <c r="B8" s="1" t="s">
        <v>527</v>
      </c>
      <c r="H8" s="7" t="s">
        <v>544</v>
      </c>
      <c r="I8" s="4" t="s">
        <v>542</v>
      </c>
      <c r="J8" s="4" t="s">
        <v>541</v>
      </c>
      <c r="K8">
        <f>D10+D12</f>
        <v>56</v>
      </c>
    </row>
    <row r="9" spans="1:11" x14ac:dyDescent="0.25">
      <c r="A9" s="1" t="s">
        <v>524</v>
      </c>
      <c r="B9" t="s">
        <v>534</v>
      </c>
      <c r="C9" t="s">
        <v>535</v>
      </c>
      <c r="D9" t="s">
        <v>525</v>
      </c>
      <c r="H9" s="5">
        <f>B12+B10</f>
        <v>44</v>
      </c>
      <c r="I9" s="5">
        <f>C12+C10</f>
        <v>12</v>
      </c>
      <c r="J9" s="5">
        <f>B21</f>
        <v>5</v>
      </c>
    </row>
    <row r="10" spans="1:11" x14ac:dyDescent="0.25">
      <c r="A10" s="2" t="s">
        <v>37</v>
      </c>
      <c r="B10">
        <v>20</v>
      </c>
      <c r="C10">
        <v>10</v>
      </c>
      <c r="D10">
        <v>30</v>
      </c>
      <c r="H10" s="6">
        <f>H9/$K$8</f>
        <v>0.7857142857142857</v>
      </c>
      <c r="I10" s="6">
        <f>I9/$K$8</f>
        <v>0.21428571428571427</v>
      </c>
      <c r="J10" s="6">
        <f>J9/$K$8</f>
        <v>8.9285714285714288E-2</v>
      </c>
    </row>
    <row r="11" spans="1:11" x14ac:dyDescent="0.25">
      <c r="A11" s="2" t="s">
        <v>111</v>
      </c>
      <c r="B11">
        <v>129</v>
      </c>
      <c r="C11">
        <v>25</v>
      </c>
      <c r="D11">
        <v>154</v>
      </c>
    </row>
    <row r="12" spans="1:11" x14ac:dyDescent="0.25">
      <c r="A12" s="2" t="s">
        <v>156</v>
      </c>
      <c r="B12">
        <v>24</v>
      </c>
      <c r="C12">
        <v>2</v>
      </c>
      <c r="D12">
        <v>26</v>
      </c>
    </row>
    <row r="13" spans="1:11" x14ac:dyDescent="0.25">
      <c r="A13" s="2" t="s">
        <v>525</v>
      </c>
      <c r="B13">
        <v>173</v>
      </c>
      <c r="C13">
        <v>37</v>
      </c>
      <c r="D13">
        <v>210</v>
      </c>
      <c r="H13" s="1" t="s">
        <v>7</v>
      </c>
      <c r="I13" t="s">
        <v>539</v>
      </c>
    </row>
    <row r="15" spans="1:11" x14ac:dyDescent="0.25">
      <c r="H15" s="1" t="s">
        <v>524</v>
      </c>
      <c r="I15" t="s">
        <v>528</v>
      </c>
    </row>
    <row r="16" spans="1:11" x14ac:dyDescent="0.25">
      <c r="A16" s="1" t="s">
        <v>7</v>
      </c>
      <c r="B16" t="s">
        <v>539</v>
      </c>
      <c r="H16" s="2" t="s">
        <v>947</v>
      </c>
      <c r="I16">
        <v>1</v>
      </c>
    </row>
    <row r="17" spans="1:9" x14ac:dyDescent="0.25">
      <c r="A17" s="1" t="s">
        <v>533</v>
      </c>
      <c r="B17" t="s">
        <v>534</v>
      </c>
      <c r="H17" s="2" t="s">
        <v>940</v>
      </c>
      <c r="I17">
        <v>1</v>
      </c>
    </row>
    <row r="18" spans="1:9" x14ac:dyDescent="0.25">
      <c r="H18" s="2" t="s">
        <v>941</v>
      </c>
      <c r="I18">
        <v>3</v>
      </c>
    </row>
    <row r="19" spans="1:9" x14ac:dyDescent="0.25">
      <c r="A19" s="1" t="s">
        <v>524</v>
      </c>
      <c r="B19" t="s">
        <v>540</v>
      </c>
      <c r="H19" s="2" t="s">
        <v>939</v>
      </c>
      <c r="I19">
        <v>3</v>
      </c>
    </row>
    <row r="20" spans="1:9" x14ac:dyDescent="0.25">
      <c r="A20" s="2" t="s">
        <v>537</v>
      </c>
      <c r="B20">
        <v>39</v>
      </c>
      <c r="H20" s="2" t="s">
        <v>949</v>
      </c>
      <c r="I20">
        <v>3</v>
      </c>
    </row>
    <row r="21" spans="1:9" x14ac:dyDescent="0.25">
      <c r="A21" s="2" t="s">
        <v>536</v>
      </c>
      <c r="B21">
        <v>5</v>
      </c>
      <c r="H21" s="2" t="s">
        <v>937</v>
      </c>
      <c r="I21">
        <v>3</v>
      </c>
    </row>
    <row r="22" spans="1:9" x14ac:dyDescent="0.25">
      <c r="A22" s="2" t="s">
        <v>525</v>
      </c>
      <c r="B22">
        <v>44</v>
      </c>
      <c r="H22" s="2" t="s">
        <v>942</v>
      </c>
      <c r="I22">
        <v>4</v>
      </c>
    </row>
    <row r="23" spans="1:9" x14ac:dyDescent="0.25">
      <c r="A23" s="2"/>
      <c r="H23" s="2" t="s">
        <v>946</v>
      </c>
      <c r="I23">
        <v>4</v>
      </c>
    </row>
    <row r="24" spans="1:9" x14ac:dyDescent="0.25">
      <c r="A24" s="2"/>
      <c r="E24" s="9" t="s">
        <v>2</v>
      </c>
      <c r="H24" s="2" t="s">
        <v>943</v>
      </c>
      <c r="I24">
        <v>4</v>
      </c>
    </row>
    <row r="25" spans="1:9" x14ac:dyDescent="0.25">
      <c r="H25" s="2" t="s">
        <v>948</v>
      </c>
      <c r="I25">
        <v>6</v>
      </c>
    </row>
    <row r="26" spans="1:9" x14ac:dyDescent="0.25">
      <c r="A26" s="1" t="s">
        <v>7</v>
      </c>
      <c r="B26" t="s">
        <v>539</v>
      </c>
      <c r="H26" s="2" t="s">
        <v>944</v>
      </c>
      <c r="I26">
        <v>6</v>
      </c>
    </row>
    <row r="27" spans="1:9" x14ac:dyDescent="0.25">
      <c r="H27" s="2" t="s">
        <v>945</v>
      </c>
      <c r="I27">
        <v>8</v>
      </c>
    </row>
    <row r="28" spans="1:9" x14ac:dyDescent="0.25">
      <c r="A28" s="1" t="s">
        <v>524</v>
      </c>
      <c r="B28" t="s">
        <v>526</v>
      </c>
      <c r="H28" s="2" t="s">
        <v>938</v>
      </c>
      <c r="I28">
        <v>10</v>
      </c>
    </row>
    <row r="29" spans="1:9" x14ac:dyDescent="0.25">
      <c r="A29" s="2" t="s">
        <v>133</v>
      </c>
      <c r="B29">
        <v>2</v>
      </c>
      <c r="H29" s="2" t="s">
        <v>525</v>
      </c>
      <c r="I29">
        <v>56</v>
      </c>
    </row>
    <row r="30" spans="1:9" x14ac:dyDescent="0.25">
      <c r="A30" s="2" t="s">
        <v>103</v>
      </c>
      <c r="B30">
        <v>3</v>
      </c>
    </row>
    <row r="31" spans="1:9" x14ac:dyDescent="0.25">
      <c r="A31" s="2" t="s">
        <v>74</v>
      </c>
      <c r="B31">
        <v>4</v>
      </c>
    </row>
    <row r="32" spans="1:9" x14ac:dyDescent="0.25">
      <c r="A32" s="2" t="s">
        <v>54</v>
      </c>
      <c r="B32">
        <v>5</v>
      </c>
    </row>
    <row r="33" spans="1:6" x14ac:dyDescent="0.25">
      <c r="A33" s="2" t="s">
        <v>96</v>
      </c>
      <c r="B33">
        <v>9</v>
      </c>
    </row>
    <row r="34" spans="1:6" x14ac:dyDescent="0.25">
      <c r="A34" s="2" t="s">
        <v>34</v>
      </c>
      <c r="B34">
        <v>13</v>
      </c>
    </row>
    <row r="35" spans="1:6" x14ac:dyDescent="0.25">
      <c r="A35" s="2" t="s">
        <v>43</v>
      </c>
      <c r="B35">
        <v>20</v>
      </c>
    </row>
    <row r="36" spans="1:6" x14ac:dyDescent="0.25">
      <c r="A36" s="2" t="s">
        <v>525</v>
      </c>
      <c r="B36">
        <v>56</v>
      </c>
      <c r="E36">
        <v>65</v>
      </c>
    </row>
    <row r="37" spans="1:6" x14ac:dyDescent="0.25">
      <c r="E37">
        <v>69</v>
      </c>
      <c r="F37">
        <f>E37-E36</f>
        <v>4</v>
      </c>
    </row>
    <row r="38" spans="1:6" x14ac:dyDescent="0.25">
      <c r="A38" s="2"/>
      <c r="E38" s="35">
        <f>4/E37</f>
        <v>5.7971014492753624E-2</v>
      </c>
      <c r="F38">
        <f>F37/E37</f>
        <v>5.7971014492753624E-2</v>
      </c>
    </row>
    <row r="39" spans="1:6" x14ac:dyDescent="0.25">
      <c r="A39" s="2"/>
    </row>
    <row r="41" spans="1:6" x14ac:dyDescent="0.25">
      <c r="A41" s="1" t="s">
        <v>7</v>
      </c>
      <c r="B41" t="s">
        <v>539</v>
      </c>
    </row>
    <row r="43" spans="1:6" x14ac:dyDescent="0.25">
      <c r="A43" s="1" t="s">
        <v>524</v>
      </c>
      <c r="B43" t="s">
        <v>575</v>
      </c>
    </row>
    <row r="44" spans="1:6" x14ac:dyDescent="0.25">
      <c r="A44" s="2" t="s">
        <v>103</v>
      </c>
      <c r="B44" s="31">
        <v>1.7857142857142856E-2</v>
      </c>
    </row>
    <row r="45" spans="1:6" x14ac:dyDescent="0.25">
      <c r="A45" s="2" t="s">
        <v>55</v>
      </c>
      <c r="B45" s="31">
        <v>0.16071428571428573</v>
      </c>
    </row>
    <row r="46" spans="1:6" x14ac:dyDescent="0.25">
      <c r="A46" s="2" t="s">
        <v>78</v>
      </c>
      <c r="B46" s="31">
        <v>0.19642857142857142</v>
      </c>
    </row>
    <row r="47" spans="1:6" x14ac:dyDescent="0.25">
      <c r="A47" s="2" t="s">
        <v>35</v>
      </c>
      <c r="B47" s="31">
        <v>0.625</v>
      </c>
    </row>
    <row r="48" spans="1:6" x14ac:dyDescent="0.25">
      <c r="A48" s="2" t="s">
        <v>525</v>
      </c>
      <c r="B48" s="10">
        <v>1</v>
      </c>
    </row>
    <row r="53" spans="1:12" x14ac:dyDescent="0.25">
      <c r="A53" s="1" t="s">
        <v>7</v>
      </c>
      <c r="B53" t="s">
        <v>539</v>
      </c>
    </row>
    <row r="55" spans="1:12" x14ac:dyDescent="0.25">
      <c r="A55" s="1" t="s">
        <v>524</v>
      </c>
      <c r="B55" t="s">
        <v>575</v>
      </c>
    </row>
    <row r="56" spans="1:12" x14ac:dyDescent="0.25">
      <c r="A56" s="2" t="s">
        <v>118</v>
      </c>
      <c r="B56">
        <v>1</v>
      </c>
    </row>
    <row r="57" spans="1:12" x14ac:dyDescent="0.25">
      <c r="A57" s="2" t="s">
        <v>1081</v>
      </c>
      <c r="B57">
        <v>1</v>
      </c>
    </row>
    <row r="58" spans="1:12" x14ac:dyDescent="0.25">
      <c r="A58" s="2" t="s">
        <v>580</v>
      </c>
      <c r="B58">
        <v>1</v>
      </c>
    </row>
    <row r="59" spans="1:12" x14ac:dyDescent="0.25">
      <c r="A59" s="2" t="s">
        <v>585</v>
      </c>
      <c r="B59">
        <v>2</v>
      </c>
    </row>
    <row r="60" spans="1:12" x14ac:dyDescent="0.25">
      <c r="A60" s="2" t="s">
        <v>584</v>
      </c>
      <c r="B60">
        <v>7</v>
      </c>
      <c r="H60" s="9" t="s">
        <v>588</v>
      </c>
      <c r="K60" s="1" t="s">
        <v>536</v>
      </c>
      <c r="L60" t="s">
        <v>536</v>
      </c>
    </row>
    <row r="61" spans="1:12" x14ac:dyDescent="0.25">
      <c r="A61" s="2" t="s">
        <v>582</v>
      </c>
      <c r="B61">
        <v>10</v>
      </c>
      <c r="H61" s="1" t="s">
        <v>7</v>
      </c>
      <c r="I61" t="s">
        <v>539</v>
      </c>
      <c r="K61" s="1" t="s">
        <v>7</v>
      </c>
      <c r="L61" t="s">
        <v>539</v>
      </c>
    </row>
    <row r="62" spans="1:12" x14ac:dyDescent="0.25">
      <c r="A62" s="2" t="s">
        <v>581</v>
      </c>
      <c r="B62">
        <v>16</v>
      </c>
    </row>
    <row r="63" spans="1:12" x14ac:dyDescent="0.25">
      <c r="A63" s="2" t="s">
        <v>579</v>
      </c>
      <c r="B63">
        <v>18</v>
      </c>
      <c r="H63" s="1" t="s">
        <v>524</v>
      </c>
      <c r="I63" t="s">
        <v>575</v>
      </c>
      <c r="K63" s="1" t="s">
        <v>524</v>
      </c>
      <c r="L63" t="s">
        <v>575</v>
      </c>
    </row>
    <row r="64" spans="1:12" x14ac:dyDescent="0.25">
      <c r="A64" s="2" t="s">
        <v>525</v>
      </c>
      <c r="B64">
        <v>56</v>
      </c>
      <c r="H64" s="2" t="s">
        <v>590</v>
      </c>
      <c r="I64" s="31">
        <v>3.5714285714285712E-2</v>
      </c>
      <c r="K64" s="2" t="s">
        <v>580</v>
      </c>
      <c r="L64">
        <v>1</v>
      </c>
    </row>
    <row r="65" spans="1:14" x14ac:dyDescent="0.25">
      <c r="H65" s="2" t="s">
        <v>591</v>
      </c>
      <c r="I65" s="31">
        <v>0.7678571428571429</v>
      </c>
      <c r="K65" s="2" t="s">
        <v>579</v>
      </c>
      <c r="L65">
        <v>7</v>
      </c>
    </row>
    <row r="66" spans="1:14" x14ac:dyDescent="0.25">
      <c r="H66" s="2" t="s">
        <v>592</v>
      </c>
      <c r="I66" s="31">
        <v>0.16071428571428573</v>
      </c>
      <c r="K66" s="2" t="s">
        <v>1081</v>
      </c>
      <c r="L66">
        <v>1</v>
      </c>
    </row>
    <row r="67" spans="1:14" x14ac:dyDescent="0.25">
      <c r="H67" s="2" t="s">
        <v>593</v>
      </c>
      <c r="I67" s="31">
        <v>3.5714285714285712E-2</v>
      </c>
      <c r="K67" s="2" t="s">
        <v>525</v>
      </c>
      <c r="L67">
        <v>9</v>
      </c>
    </row>
    <row r="68" spans="1:14" x14ac:dyDescent="0.25">
      <c r="H68" s="2" t="s">
        <v>525</v>
      </c>
      <c r="I68" s="31">
        <v>1</v>
      </c>
    </row>
    <row r="72" spans="1:14" x14ac:dyDescent="0.25">
      <c r="H72" s="23" t="s">
        <v>697</v>
      </c>
      <c r="I72" s="23" t="s">
        <v>950</v>
      </c>
    </row>
    <row r="73" spans="1:14" x14ac:dyDescent="0.25">
      <c r="H73" s="23" t="s">
        <v>951</v>
      </c>
      <c r="I73" s="53">
        <v>0.72</v>
      </c>
      <c r="K73" s="31"/>
    </row>
    <row r="74" spans="1:14" x14ac:dyDescent="0.25">
      <c r="H74" s="23" t="s">
        <v>952</v>
      </c>
      <c r="I74" s="53">
        <v>0.08</v>
      </c>
      <c r="K74" s="31"/>
    </row>
    <row r="75" spans="1:14" x14ac:dyDescent="0.25">
      <c r="H75" s="23" t="s">
        <v>589</v>
      </c>
      <c r="I75" s="53">
        <v>0.02</v>
      </c>
    </row>
    <row r="76" spans="1:14" x14ac:dyDescent="0.25">
      <c r="H76" s="23" t="s">
        <v>593</v>
      </c>
      <c r="I76" s="53">
        <v>0.09</v>
      </c>
      <c r="M76" s="1" t="s">
        <v>533</v>
      </c>
      <c r="N76" t="s">
        <v>538</v>
      </c>
    </row>
    <row r="77" spans="1:14" x14ac:dyDescent="0.25">
      <c r="A77" s="1" t="s">
        <v>533</v>
      </c>
      <c r="B77" t="s">
        <v>538</v>
      </c>
      <c r="D77" s="1" t="s">
        <v>533</v>
      </c>
      <c r="E77" t="s">
        <v>538</v>
      </c>
      <c r="H77" s="23" t="s">
        <v>590</v>
      </c>
      <c r="I77" s="53">
        <v>0.09</v>
      </c>
      <c r="M77" s="1" t="s">
        <v>7</v>
      </c>
      <c r="N77" t="s">
        <v>539</v>
      </c>
    </row>
    <row r="78" spans="1:14" x14ac:dyDescent="0.25">
      <c r="A78" s="1" t="s">
        <v>7</v>
      </c>
      <c r="B78" t="s">
        <v>539</v>
      </c>
      <c r="D78" s="1" t="s">
        <v>7</v>
      </c>
      <c r="E78" t="s">
        <v>539</v>
      </c>
      <c r="I78" s="31">
        <f>SUM(I73:I77)</f>
        <v>0.99999999999999989</v>
      </c>
    </row>
    <row r="79" spans="1:14" x14ac:dyDescent="0.25">
      <c r="M79" s="1" t="s">
        <v>524</v>
      </c>
      <c r="N79" t="s">
        <v>575</v>
      </c>
    </row>
    <row r="80" spans="1:14" x14ac:dyDescent="0.25">
      <c r="A80" s="1" t="s">
        <v>524</v>
      </c>
      <c r="B80" t="s">
        <v>575</v>
      </c>
      <c r="D80" s="1" t="s">
        <v>524</v>
      </c>
      <c r="E80" t="s">
        <v>575</v>
      </c>
      <c r="H80" s="23"/>
      <c r="I80" s="23"/>
      <c r="M80" s="2" t="s">
        <v>84</v>
      </c>
      <c r="N80">
        <v>1</v>
      </c>
    </row>
    <row r="81" spans="1:14" x14ac:dyDescent="0.25">
      <c r="A81" s="2" t="s">
        <v>14</v>
      </c>
      <c r="B81">
        <v>113</v>
      </c>
      <c r="D81" s="2" t="s">
        <v>48</v>
      </c>
      <c r="E81">
        <v>1</v>
      </c>
      <c r="H81" s="23"/>
      <c r="I81" s="23"/>
      <c r="M81" s="2" t="s">
        <v>1054</v>
      </c>
      <c r="N81">
        <v>1</v>
      </c>
    </row>
    <row r="82" spans="1:14" x14ac:dyDescent="0.25">
      <c r="A82" s="2" t="s">
        <v>68</v>
      </c>
      <c r="B82">
        <v>50</v>
      </c>
      <c r="D82" s="2" t="s">
        <v>87</v>
      </c>
      <c r="E82">
        <v>2</v>
      </c>
      <c r="H82" s="23"/>
      <c r="I82" s="23"/>
      <c r="M82" s="2" t="s">
        <v>129</v>
      </c>
      <c r="N82">
        <v>1</v>
      </c>
    </row>
    <row r="83" spans="1:14" x14ac:dyDescent="0.25">
      <c r="A83" s="2" t="s">
        <v>102</v>
      </c>
      <c r="B83">
        <v>26</v>
      </c>
      <c r="D83" s="2" t="s">
        <v>103</v>
      </c>
      <c r="E83">
        <v>4</v>
      </c>
      <c r="H83" s="23"/>
      <c r="I83" s="23"/>
      <c r="M83" s="2" t="s">
        <v>1010</v>
      </c>
      <c r="N83">
        <v>1</v>
      </c>
    </row>
    <row r="84" spans="1:14" x14ac:dyDescent="0.25">
      <c r="A84" s="2" t="s">
        <v>696</v>
      </c>
      <c r="B84">
        <v>18</v>
      </c>
      <c r="D84" s="2" t="s">
        <v>74</v>
      </c>
      <c r="E84">
        <v>11</v>
      </c>
      <c r="H84" s="23"/>
      <c r="I84" s="23"/>
      <c r="M84" s="2" t="s">
        <v>248</v>
      </c>
      <c r="N84">
        <v>1</v>
      </c>
    </row>
    <row r="85" spans="1:14" x14ac:dyDescent="0.25">
      <c r="A85" s="2" t="s">
        <v>116</v>
      </c>
      <c r="B85">
        <v>2</v>
      </c>
      <c r="D85" s="2" t="s">
        <v>96</v>
      </c>
      <c r="E85">
        <v>15</v>
      </c>
      <c r="M85" s="2" t="s">
        <v>115</v>
      </c>
      <c r="N85">
        <v>1</v>
      </c>
    </row>
    <row r="86" spans="1:14" x14ac:dyDescent="0.25">
      <c r="A86" s="2" t="s">
        <v>105</v>
      </c>
      <c r="B86">
        <v>1</v>
      </c>
      <c r="D86" s="2" t="s">
        <v>34</v>
      </c>
      <c r="E86">
        <v>32</v>
      </c>
      <c r="M86" s="2" t="s">
        <v>397</v>
      </c>
      <c r="N86">
        <v>1</v>
      </c>
    </row>
    <row r="87" spans="1:14" x14ac:dyDescent="0.25">
      <c r="A87" s="2" t="s">
        <v>525</v>
      </c>
      <c r="B87">
        <v>210</v>
      </c>
      <c r="D87" s="2" t="s">
        <v>133</v>
      </c>
      <c r="E87">
        <v>40</v>
      </c>
      <c r="M87" s="2" t="s">
        <v>1013</v>
      </c>
      <c r="N87">
        <v>1</v>
      </c>
    </row>
    <row r="88" spans="1:14" x14ac:dyDescent="0.25">
      <c r="D88" s="2" t="s">
        <v>54</v>
      </c>
      <c r="E88">
        <v>52</v>
      </c>
      <c r="M88" s="2" t="s">
        <v>936</v>
      </c>
      <c r="N88">
        <v>1</v>
      </c>
    </row>
    <row r="89" spans="1:14" x14ac:dyDescent="0.25">
      <c r="D89" s="2" t="s">
        <v>43</v>
      </c>
      <c r="E89">
        <v>53</v>
      </c>
      <c r="M89" s="2" t="s">
        <v>161</v>
      </c>
      <c r="N89">
        <v>1</v>
      </c>
    </row>
    <row r="90" spans="1:14" x14ac:dyDescent="0.25">
      <c r="B90" s="9" t="s">
        <v>576</v>
      </c>
      <c r="D90" s="2" t="s">
        <v>525</v>
      </c>
      <c r="E90">
        <v>210</v>
      </c>
      <c r="M90" s="2" t="s">
        <v>962</v>
      </c>
      <c r="N90">
        <v>1</v>
      </c>
    </row>
    <row r="91" spans="1:14" x14ac:dyDescent="0.25">
      <c r="M91" s="2"/>
      <c r="N91">
        <v>1</v>
      </c>
    </row>
    <row r="92" spans="1:14" x14ac:dyDescent="0.25">
      <c r="A92" s="1" t="s">
        <v>7</v>
      </c>
      <c r="B92" t="s">
        <v>539</v>
      </c>
      <c r="M92" s="2" t="s">
        <v>992</v>
      </c>
      <c r="N92">
        <v>1</v>
      </c>
    </row>
    <row r="93" spans="1:14" x14ac:dyDescent="0.25">
      <c r="A93" s="1" t="s">
        <v>576</v>
      </c>
      <c r="B93" t="s">
        <v>42</v>
      </c>
      <c r="D93" s="1" t="s">
        <v>7</v>
      </c>
      <c r="E93" t="s">
        <v>539</v>
      </c>
      <c r="M93" s="2" t="s">
        <v>475</v>
      </c>
      <c r="N93">
        <v>1</v>
      </c>
    </row>
    <row r="94" spans="1:14" x14ac:dyDescent="0.25">
      <c r="M94" s="2" t="s">
        <v>1004</v>
      </c>
      <c r="N94">
        <v>1</v>
      </c>
    </row>
    <row r="95" spans="1:14" x14ac:dyDescent="0.25">
      <c r="A95" s="1" t="s">
        <v>524</v>
      </c>
      <c r="B95" t="s">
        <v>575</v>
      </c>
      <c r="D95" s="1" t="s">
        <v>524</v>
      </c>
      <c r="E95" t="s">
        <v>575</v>
      </c>
      <c r="M95" s="2" t="s">
        <v>124</v>
      </c>
      <c r="N95">
        <v>2</v>
      </c>
    </row>
    <row r="96" spans="1:14" x14ac:dyDescent="0.25">
      <c r="A96" s="2" t="s">
        <v>54</v>
      </c>
      <c r="B96">
        <v>13</v>
      </c>
      <c r="D96" s="2" t="s">
        <v>54</v>
      </c>
      <c r="E96">
        <v>5</v>
      </c>
      <c r="M96" s="2" t="s">
        <v>183</v>
      </c>
      <c r="N96">
        <v>2</v>
      </c>
    </row>
    <row r="97" spans="1:14" x14ac:dyDescent="0.25">
      <c r="A97" s="2" t="s">
        <v>133</v>
      </c>
      <c r="B97">
        <v>8</v>
      </c>
      <c r="D97" s="2" t="s">
        <v>133</v>
      </c>
      <c r="E97">
        <v>2</v>
      </c>
      <c r="M97" s="2" t="s">
        <v>235</v>
      </c>
      <c r="N97">
        <v>2</v>
      </c>
    </row>
    <row r="98" spans="1:14" x14ac:dyDescent="0.25">
      <c r="A98" s="2" t="s">
        <v>43</v>
      </c>
      <c r="B98">
        <v>1</v>
      </c>
      <c r="D98" s="2" t="s">
        <v>96</v>
      </c>
      <c r="E98">
        <v>7</v>
      </c>
      <c r="M98" s="2" t="s">
        <v>339</v>
      </c>
      <c r="N98">
        <v>2</v>
      </c>
    </row>
    <row r="99" spans="1:14" x14ac:dyDescent="0.25">
      <c r="A99" s="2" t="s">
        <v>74</v>
      </c>
      <c r="B99">
        <v>1</v>
      </c>
      <c r="D99" s="2" t="s">
        <v>43</v>
      </c>
      <c r="E99">
        <v>20</v>
      </c>
      <c r="M99" s="2" t="s">
        <v>268</v>
      </c>
      <c r="N99">
        <v>2</v>
      </c>
    </row>
    <row r="100" spans="1:14" x14ac:dyDescent="0.25">
      <c r="A100" s="2" t="s">
        <v>34</v>
      </c>
      <c r="B100">
        <v>3</v>
      </c>
      <c r="D100" s="2" t="s">
        <v>74</v>
      </c>
      <c r="E100">
        <v>3</v>
      </c>
      <c r="M100" s="2" t="s">
        <v>50</v>
      </c>
      <c r="N100">
        <v>2</v>
      </c>
    </row>
    <row r="101" spans="1:14" x14ac:dyDescent="0.25">
      <c r="A101" s="2" t="s">
        <v>103</v>
      </c>
      <c r="B101">
        <v>1</v>
      </c>
      <c r="D101" s="2" t="s">
        <v>34</v>
      </c>
      <c r="E101">
        <v>10</v>
      </c>
      <c r="M101" s="2" t="s">
        <v>166</v>
      </c>
      <c r="N101">
        <v>2</v>
      </c>
    </row>
    <row r="102" spans="1:14" x14ac:dyDescent="0.25">
      <c r="A102" s="2" t="s">
        <v>525</v>
      </c>
      <c r="B102">
        <v>27</v>
      </c>
      <c r="D102" s="2" t="s">
        <v>103</v>
      </c>
      <c r="E102">
        <v>3</v>
      </c>
      <c r="M102" s="2" t="s">
        <v>187</v>
      </c>
      <c r="N102">
        <v>2</v>
      </c>
    </row>
    <row r="103" spans="1:14" x14ac:dyDescent="0.25">
      <c r="D103" s="2" t="s">
        <v>525</v>
      </c>
      <c r="E103">
        <v>50</v>
      </c>
      <c r="M103" s="2" t="s">
        <v>273</v>
      </c>
      <c r="N103">
        <v>2</v>
      </c>
    </row>
    <row r="104" spans="1:14" x14ac:dyDescent="0.25">
      <c r="M104" s="2" t="s">
        <v>184</v>
      </c>
      <c r="N104">
        <v>2</v>
      </c>
    </row>
    <row r="105" spans="1:14" ht="15.75" thickBot="1" x14ac:dyDescent="0.3">
      <c r="D105" s="1" t="s">
        <v>533</v>
      </c>
      <c r="E105" t="s">
        <v>539</v>
      </c>
      <c r="M105" s="2" t="s">
        <v>205</v>
      </c>
      <c r="N105">
        <v>3</v>
      </c>
    </row>
    <row r="106" spans="1:14" ht="15.75" thickBot="1" x14ac:dyDescent="0.3">
      <c r="A106" s="1" t="s">
        <v>533</v>
      </c>
      <c r="B106" t="s">
        <v>535</v>
      </c>
      <c r="D106" s="1" t="s">
        <v>536</v>
      </c>
      <c r="E106" t="s">
        <v>536</v>
      </c>
      <c r="H106" s="14" t="s">
        <v>594</v>
      </c>
      <c r="I106" s="14" t="s">
        <v>598</v>
      </c>
      <c r="J106" s="14" t="s">
        <v>596</v>
      </c>
      <c r="K106" s="14" t="s">
        <v>597</v>
      </c>
      <c r="M106" s="2" t="s">
        <v>89</v>
      </c>
      <c r="N106">
        <v>3</v>
      </c>
    </row>
    <row r="107" spans="1:14" x14ac:dyDescent="0.25">
      <c r="A107" s="1" t="s">
        <v>7</v>
      </c>
      <c r="B107" t="s">
        <v>539</v>
      </c>
      <c r="D107" s="1" t="s">
        <v>7</v>
      </c>
      <c r="E107" t="s">
        <v>539</v>
      </c>
      <c r="H107" s="15" t="s">
        <v>581</v>
      </c>
      <c r="I107" s="16">
        <v>1</v>
      </c>
      <c r="J107" s="17">
        <v>0</v>
      </c>
      <c r="K107" s="17">
        <f>SUM(I107:J107)</f>
        <v>1</v>
      </c>
      <c r="M107" s="2" t="s">
        <v>119</v>
      </c>
      <c r="N107">
        <v>3</v>
      </c>
    </row>
    <row r="108" spans="1:14" ht="19.5" x14ac:dyDescent="0.25">
      <c r="H108" s="18" t="s">
        <v>580</v>
      </c>
      <c r="I108" s="19">
        <v>1</v>
      </c>
      <c r="J108" s="12">
        <v>0</v>
      </c>
      <c r="K108" s="12">
        <f>SUM(I108:J108)</f>
        <v>1</v>
      </c>
      <c r="M108" s="2" t="s">
        <v>76</v>
      </c>
      <c r="N108">
        <v>3</v>
      </c>
    </row>
    <row r="109" spans="1:14" ht="19.5" x14ac:dyDescent="0.25">
      <c r="A109" s="11" t="s">
        <v>594</v>
      </c>
      <c r="B109" s="3" t="s">
        <v>595</v>
      </c>
      <c r="D109" s="1" t="s">
        <v>594</v>
      </c>
      <c r="E109" t="s">
        <v>575</v>
      </c>
      <c r="H109" s="20" t="s">
        <v>579</v>
      </c>
      <c r="I109" s="21">
        <v>1</v>
      </c>
      <c r="J109" s="13">
        <v>4</v>
      </c>
      <c r="K109" s="13">
        <f>SUM(I109:J109)</f>
        <v>5</v>
      </c>
      <c r="M109" s="2" t="s">
        <v>79</v>
      </c>
      <c r="N109">
        <v>3</v>
      </c>
    </row>
    <row r="110" spans="1:14" ht="15.75" thickBot="1" x14ac:dyDescent="0.3">
      <c r="A110" s="2" t="s">
        <v>581</v>
      </c>
      <c r="B110" s="3">
        <v>1</v>
      </c>
      <c r="D110" s="2" t="s">
        <v>580</v>
      </c>
      <c r="E110">
        <v>1</v>
      </c>
      <c r="H110" s="18" t="s">
        <v>582</v>
      </c>
      <c r="I110" s="12">
        <v>1</v>
      </c>
      <c r="J110" s="19">
        <v>0</v>
      </c>
      <c r="K110" s="19">
        <f>SUM(I110:J110)</f>
        <v>1</v>
      </c>
      <c r="M110" s="2" t="s">
        <v>109</v>
      </c>
      <c r="N110">
        <v>3</v>
      </c>
    </row>
    <row r="111" spans="1:14" ht="15.75" thickBot="1" x14ac:dyDescent="0.3">
      <c r="A111" s="2" t="s">
        <v>579</v>
      </c>
      <c r="B111" s="3">
        <v>9</v>
      </c>
      <c r="D111" s="2" t="s">
        <v>579</v>
      </c>
      <c r="E111" s="3">
        <v>4</v>
      </c>
      <c r="H111" s="22" t="s">
        <v>525</v>
      </c>
      <c r="I111" s="14">
        <f>SUM(I107:I110)</f>
        <v>4</v>
      </c>
      <c r="J111" s="14">
        <f>SUM(J107:J110)</f>
        <v>4</v>
      </c>
      <c r="K111" s="14">
        <f>SUM(K107:K110)</f>
        <v>8</v>
      </c>
      <c r="M111" s="2" t="s">
        <v>418</v>
      </c>
      <c r="N111">
        <v>3</v>
      </c>
    </row>
    <row r="112" spans="1:14" x14ac:dyDescent="0.25">
      <c r="A112" s="2" t="s">
        <v>584</v>
      </c>
      <c r="B112">
        <v>1</v>
      </c>
      <c r="D112" s="2" t="s">
        <v>525</v>
      </c>
      <c r="E112">
        <v>5</v>
      </c>
      <c r="M112" s="2" t="s">
        <v>104</v>
      </c>
      <c r="N112">
        <v>3</v>
      </c>
    </row>
    <row r="113" spans="1:14" x14ac:dyDescent="0.25">
      <c r="A113" s="2" t="s">
        <v>1081</v>
      </c>
      <c r="B113">
        <v>1</v>
      </c>
      <c r="M113" s="2" t="s">
        <v>110</v>
      </c>
      <c r="N113">
        <v>3</v>
      </c>
    </row>
    <row r="114" spans="1:14" x14ac:dyDescent="0.25">
      <c r="A114" s="2" t="s">
        <v>525</v>
      </c>
      <c r="B114" s="3">
        <v>12</v>
      </c>
      <c r="M114" s="2" t="s">
        <v>58</v>
      </c>
      <c r="N114">
        <v>4</v>
      </c>
    </row>
    <row r="115" spans="1:14" x14ac:dyDescent="0.25">
      <c r="M115" s="2" t="s">
        <v>774</v>
      </c>
      <c r="N115">
        <v>4</v>
      </c>
    </row>
    <row r="116" spans="1:14" x14ac:dyDescent="0.25">
      <c r="M116" s="2" t="s">
        <v>1024</v>
      </c>
      <c r="N116">
        <v>5</v>
      </c>
    </row>
    <row r="117" spans="1:14" x14ac:dyDescent="0.25">
      <c r="M117" s="2" t="s">
        <v>95</v>
      </c>
      <c r="N117">
        <v>5</v>
      </c>
    </row>
    <row r="118" spans="1:14" x14ac:dyDescent="0.25">
      <c r="A118" s="1" t="s">
        <v>7</v>
      </c>
      <c r="B118" t="s">
        <v>539</v>
      </c>
      <c r="M118" s="2" t="s">
        <v>120</v>
      </c>
      <c r="N118">
        <v>6</v>
      </c>
    </row>
    <row r="119" spans="1:14" x14ac:dyDescent="0.25">
      <c r="M119" s="2" t="s">
        <v>85</v>
      </c>
      <c r="N119">
        <v>6</v>
      </c>
    </row>
    <row r="120" spans="1:14" x14ac:dyDescent="0.25">
      <c r="A120" s="1" t="s">
        <v>594</v>
      </c>
      <c r="B120" s="3" t="s">
        <v>595</v>
      </c>
      <c r="D120" s="8" t="s">
        <v>594</v>
      </c>
      <c r="E120" s="32" t="s">
        <v>595</v>
      </c>
      <c r="M120" s="2" t="s">
        <v>215</v>
      </c>
      <c r="N120">
        <v>6</v>
      </c>
    </row>
    <row r="121" spans="1:14" x14ac:dyDescent="0.25">
      <c r="A121" s="2" t="s">
        <v>64</v>
      </c>
      <c r="B121" s="3">
        <v>20</v>
      </c>
      <c r="D121" s="2" t="s">
        <v>64</v>
      </c>
      <c r="E121" s="3">
        <f>GETPIVOTDATA("Area",$A$120,"Regional","CENTRO")</f>
        <v>20</v>
      </c>
      <c r="M121" s="2" t="s">
        <v>52</v>
      </c>
      <c r="N121">
        <v>6</v>
      </c>
    </row>
    <row r="122" spans="1:14" x14ac:dyDescent="0.25">
      <c r="A122" s="2" t="s">
        <v>57</v>
      </c>
      <c r="B122" s="3">
        <v>11</v>
      </c>
      <c r="D122" s="2" t="s">
        <v>57</v>
      </c>
      <c r="E122" s="3">
        <f>GETPIVOTDATA("Area",$A$120,"Regional","NORTE")</f>
        <v>11</v>
      </c>
      <c r="M122" s="2" t="s">
        <v>163</v>
      </c>
      <c r="N122">
        <v>7</v>
      </c>
    </row>
    <row r="123" spans="1:14" x14ac:dyDescent="0.25">
      <c r="A123" s="2" t="s">
        <v>39</v>
      </c>
      <c r="B123" s="3">
        <v>25</v>
      </c>
      <c r="D123" s="2" t="s">
        <v>39</v>
      </c>
      <c r="E123" s="3">
        <f>GETPIVOTDATA("Area",$A$120,"Regional","SUL")</f>
        <v>25</v>
      </c>
      <c r="M123" s="2" t="s">
        <v>125</v>
      </c>
      <c r="N123">
        <v>7</v>
      </c>
    </row>
    <row r="124" spans="1:14" x14ac:dyDescent="0.25">
      <c r="A124" s="2" t="s">
        <v>525</v>
      </c>
      <c r="B124" s="3">
        <v>56</v>
      </c>
      <c r="D124" s="33" t="s">
        <v>525</v>
      </c>
      <c r="E124" s="34">
        <f>SUM(E121:E123)</f>
        <v>56</v>
      </c>
      <c r="M124" s="2" t="s">
        <v>264</v>
      </c>
      <c r="N124">
        <v>8</v>
      </c>
    </row>
    <row r="125" spans="1:14" x14ac:dyDescent="0.25">
      <c r="M125" s="2" t="s">
        <v>97</v>
      </c>
      <c r="N125">
        <v>8</v>
      </c>
    </row>
    <row r="126" spans="1:14" x14ac:dyDescent="0.25">
      <c r="M126" s="2" t="s">
        <v>160</v>
      </c>
      <c r="N126">
        <v>8</v>
      </c>
    </row>
    <row r="127" spans="1:14" x14ac:dyDescent="0.25">
      <c r="M127" s="2" t="s">
        <v>107</v>
      </c>
      <c r="N127">
        <v>9</v>
      </c>
    </row>
    <row r="128" spans="1:14" x14ac:dyDescent="0.25">
      <c r="M128" s="2" t="s">
        <v>213</v>
      </c>
      <c r="N128">
        <v>11</v>
      </c>
    </row>
    <row r="129" spans="1:14" x14ac:dyDescent="0.25">
      <c r="M129" s="2" t="s">
        <v>45</v>
      </c>
      <c r="N129">
        <v>18</v>
      </c>
    </row>
    <row r="130" spans="1:14" x14ac:dyDescent="0.25">
      <c r="M130" s="2" t="s">
        <v>65</v>
      </c>
      <c r="N130">
        <v>30</v>
      </c>
    </row>
    <row r="131" spans="1:14" x14ac:dyDescent="0.25">
      <c r="M131" s="2" t="s">
        <v>525</v>
      </c>
      <c r="N131">
        <v>210</v>
      </c>
    </row>
    <row r="134" spans="1:14" ht="20.25" thickBot="1" x14ac:dyDescent="0.3">
      <c r="A134" s="24" t="s">
        <v>599</v>
      </c>
      <c r="B134" s="24" t="s">
        <v>695</v>
      </c>
      <c r="C134" s="24" t="s">
        <v>645</v>
      </c>
      <c r="D134" s="24" t="s">
        <v>600</v>
      </c>
      <c r="E134" s="24" t="s">
        <v>602</v>
      </c>
      <c r="F134" s="24" t="s">
        <v>603</v>
      </c>
    </row>
    <row r="135" spans="1:14" x14ac:dyDescent="0.25">
      <c r="A135" s="25" t="s">
        <v>543</v>
      </c>
      <c r="B135" s="26"/>
      <c r="C135" s="26"/>
      <c r="D135" s="50">
        <v>18</v>
      </c>
      <c r="E135" s="26">
        <f>H4</f>
        <v>30</v>
      </c>
      <c r="F135" s="27">
        <f>(E135/D135)-1</f>
        <v>0.66666666666666674</v>
      </c>
    </row>
    <row r="136" spans="1:14" x14ac:dyDescent="0.25">
      <c r="A136" s="25" t="s">
        <v>529</v>
      </c>
      <c r="B136" s="28"/>
      <c r="C136" s="28"/>
      <c r="D136" s="51">
        <v>135</v>
      </c>
      <c r="E136" s="28">
        <f>I4</f>
        <v>154</v>
      </c>
      <c r="F136" s="27">
        <f t="shared" ref="F136:F138" si="1">(E136/D136)-1</f>
        <v>0.14074074074074083</v>
      </c>
    </row>
    <row r="137" spans="1:14" x14ac:dyDescent="0.25">
      <c r="A137" s="25" t="s">
        <v>530</v>
      </c>
      <c r="B137" s="28"/>
      <c r="C137" s="28"/>
      <c r="D137" s="51">
        <v>39</v>
      </c>
      <c r="E137" s="28">
        <f>J4</f>
        <v>26</v>
      </c>
      <c r="F137" s="27">
        <f t="shared" si="1"/>
        <v>-0.33333333333333337</v>
      </c>
    </row>
    <row r="138" spans="1:14" x14ac:dyDescent="0.25">
      <c r="A138" s="25" t="s">
        <v>601</v>
      </c>
      <c r="B138" s="29">
        <v>0.88</v>
      </c>
      <c r="C138" s="29">
        <v>0.88</v>
      </c>
      <c r="D138" s="52">
        <v>0.86</v>
      </c>
      <c r="E138" s="29">
        <f>K5</f>
        <v>0.82380952380952377</v>
      </c>
      <c r="F138" s="27">
        <f t="shared" si="1"/>
        <v>-4.2081949058693224E-2</v>
      </c>
    </row>
    <row r="145" spans="1:5" x14ac:dyDescent="0.25">
      <c r="A145" s="1" t="s">
        <v>7</v>
      </c>
      <c r="B145" t="s">
        <v>539</v>
      </c>
    </row>
    <row r="147" spans="1:5" x14ac:dyDescent="0.25">
      <c r="A147" s="1" t="s">
        <v>594</v>
      </c>
      <c r="B147" s="3" t="s">
        <v>595</v>
      </c>
    </row>
    <row r="148" spans="1:5" x14ac:dyDescent="0.25">
      <c r="A148" s="2" t="s">
        <v>35</v>
      </c>
      <c r="B148" s="31">
        <v>0.625</v>
      </c>
      <c r="D148" s="31">
        <v>0.69</v>
      </c>
      <c r="E148" s="35">
        <f>B148-D148</f>
        <v>-6.4999999999999947E-2</v>
      </c>
    </row>
    <row r="149" spans="1:5" x14ac:dyDescent="0.25">
      <c r="A149" s="2" t="s">
        <v>78</v>
      </c>
      <c r="B149" s="31">
        <v>0.19642857142857142</v>
      </c>
      <c r="E149" s="35">
        <f>E148/GETPIVOTDATA("Area",$A$147,"Area","DCMD")</f>
        <v>-0.10399999999999991</v>
      </c>
    </row>
    <row r="150" spans="1:5" x14ac:dyDescent="0.25">
      <c r="A150" s="2" t="s">
        <v>55</v>
      </c>
      <c r="B150" s="31">
        <v>0.16071428571428573</v>
      </c>
    </row>
    <row r="151" spans="1:5" x14ac:dyDescent="0.25">
      <c r="A151" s="2" t="s">
        <v>103</v>
      </c>
      <c r="B151" s="10">
        <v>1.7857142857142856E-2</v>
      </c>
    </row>
    <row r="152" spans="1:5" x14ac:dyDescent="0.25">
      <c r="A152" s="2" t="s">
        <v>525</v>
      </c>
      <c r="B152" s="30">
        <v>1</v>
      </c>
    </row>
    <row r="161" spans="1:5" x14ac:dyDescent="0.25">
      <c r="A161" s="1" t="s">
        <v>575</v>
      </c>
      <c r="B161" s="1" t="s">
        <v>527</v>
      </c>
    </row>
    <row r="162" spans="1:5" x14ac:dyDescent="0.25">
      <c r="A162" s="1" t="s">
        <v>524</v>
      </c>
      <c r="B162" t="s">
        <v>37</v>
      </c>
      <c r="C162" t="s">
        <v>111</v>
      </c>
      <c r="D162" t="s">
        <v>156</v>
      </c>
      <c r="E162" t="s">
        <v>525</v>
      </c>
    </row>
    <row r="163" spans="1:5" x14ac:dyDescent="0.25">
      <c r="A163" s="2" t="s">
        <v>54</v>
      </c>
      <c r="B163" s="10">
        <v>3.8461538461538464E-2</v>
      </c>
      <c r="C163" s="10">
        <v>0.90384615384615385</v>
      </c>
      <c r="D163" s="10">
        <v>5.7692307692307696E-2</v>
      </c>
      <c r="E163" s="10">
        <v>1</v>
      </c>
    </row>
    <row r="164" spans="1:5" x14ac:dyDescent="0.25">
      <c r="A164" s="2" t="s">
        <v>133</v>
      </c>
      <c r="B164" s="10">
        <v>0</v>
      </c>
      <c r="C164" s="10">
        <v>0.95</v>
      </c>
      <c r="D164" s="10">
        <v>0.05</v>
      </c>
      <c r="E164" s="10">
        <v>1</v>
      </c>
    </row>
    <row r="165" spans="1:5" x14ac:dyDescent="0.25">
      <c r="A165" s="2" t="s">
        <v>96</v>
      </c>
      <c r="B165" s="10">
        <v>0.46666666666666667</v>
      </c>
      <c r="C165" s="10">
        <v>0.4</v>
      </c>
      <c r="D165" s="10">
        <v>0.13333333333333333</v>
      </c>
      <c r="E165" s="10">
        <v>1</v>
      </c>
    </row>
    <row r="166" spans="1:5" x14ac:dyDescent="0.25">
      <c r="A166" s="2" t="s">
        <v>43</v>
      </c>
      <c r="B166" s="10">
        <v>0.26415094339622641</v>
      </c>
      <c r="C166" s="10">
        <v>0.62264150943396224</v>
      </c>
      <c r="D166" s="10">
        <v>0.11320754716981132</v>
      </c>
      <c r="E166" s="10">
        <v>1</v>
      </c>
    </row>
    <row r="167" spans="1:5" x14ac:dyDescent="0.25">
      <c r="A167" s="2" t="s">
        <v>87</v>
      </c>
      <c r="B167" s="10">
        <v>0</v>
      </c>
      <c r="C167" s="10">
        <v>1</v>
      </c>
      <c r="D167" s="10">
        <v>0</v>
      </c>
      <c r="E167" s="10">
        <v>1</v>
      </c>
    </row>
    <row r="168" spans="1:5" x14ac:dyDescent="0.25">
      <c r="A168" s="2" t="s">
        <v>74</v>
      </c>
      <c r="B168" s="10">
        <v>0.27272727272727271</v>
      </c>
      <c r="C168" s="10">
        <v>0.63636363636363635</v>
      </c>
      <c r="D168" s="10">
        <v>9.0909090909090912E-2</v>
      </c>
      <c r="E168" s="10">
        <v>1</v>
      </c>
    </row>
    <row r="169" spans="1:5" x14ac:dyDescent="0.25">
      <c r="A169" s="2" t="s">
        <v>48</v>
      </c>
      <c r="B169" s="10">
        <v>0</v>
      </c>
      <c r="C169" s="10">
        <v>1</v>
      </c>
      <c r="D169" s="10">
        <v>0</v>
      </c>
      <c r="E169" s="10">
        <v>1</v>
      </c>
    </row>
    <row r="170" spans="1:5" x14ac:dyDescent="0.25">
      <c r="A170" s="2" t="s">
        <v>34</v>
      </c>
      <c r="B170" s="10">
        <v>6.25E-2</v>
      </c>
      <c r="C170" s="10">
        <v>0.59375</v>
      </c>
      <c r="D170" s="10">
        <v>0.34375</v>
      </c>
      <c r="E170" s="10">
        <v>1</v>
      </c>
    </row>
    <row r="171" spans="1:5" x14ac:dyDescent="0.25">
      <c r="A171" s="2" t="s">
        <v>103</v>
      </c>
      <c r="B171" s="10">
        <v>0.5</v>
      </c>
      <c r="C171" s="10">
        <v>0.25</v>
      </c>
      <c r="D171" s="10">
        <v>0.25</v>
      </c>
      <c r="E171" s="10">
        <v>1</v>
      </c>
    </row>
    <row r="172" spans="1:5" x14ac:dyDescent="0.25">
      <c r="A172" s="2" t="s">
        <v>525</v>
      </c>
      <c r="B172" s="10">
        <v>0.14285714285714285</v>
      </c>
      <c r="C172" s="10">
        <v>0.73333333333333328</v>
      </c>
      <c r="D172" s="10">
        <v>0.12380952380952381</v>
      </c>
      <c r="E172" s="10">
        <v>1</v>
      </c>
    </row>
    <row r="180" spans="1:9" ht="15.75" thickBot="1" x14ac:dyDescent="0.3"/>
    <row r="181" spans="1:9" ht="15.75" thickBot="1" x14ac:dyDescent="0.3">
      <c r="A181" s="60" t="s">
        <v>1082</v>
      </c>
      <c r="B181" s="60" t="s">
        <v>600</v>
      </c>
      <c r="C181" s="60" t="s">
        <v>1083</v>
      </c>
      <c r="D181" s="60" t="s">
        <v>603</v>
      </c>
    </row>
    <row r="182" spans="1:9" x14ac:dyDescent="0.25">
      <c r="A182" s="61" t="s">
        <v>1084</v>
      </c>
      <c r="B182" s="50">
        <v>6</v>
      </c>
      <c r="C182" s="50">
        <f>I9</f>
        <v>12</v>
      </c>
      <c r="D182" s="27">
        <f>(C182/B182)-1</f>
        <v>1</v>
      </c>
    </row>
    <row r="183" spans="1:9" x14ac:dyDescent="0.25">
      <c r="A183" s="62" t="s">
        <v>531</v>
      </c>
      <c r="B183" s="51">
        <v>36</v>
      </c>
      <c r="C183" s="51">
        <f>H9</f>
        <v>44</v>
      </c>
      <c r="D183" s="27">
        <f>(C183/B183)-1</f>
        <v>0.22222222222222232</v>
      </c>
    </row>
    <row r="184" spans="1:9" x14ac:dyDescent="0.25">
      <c r="A184" s="62" t="s">
        <v>1085</v>
      </c>
      <c r="B184" s="51">
        <v>9</v>
      </c>
      <c r="C184" s="51">
        <f>J9</f>
        <v>5</v>
      </c>
      <c r="D184" s="27">
        <f>(C184/B184)-1</f>
        <v>-0.44444444444444442</v>
      </c>
    </row>
    <row r="185" spans="1:9" x14ac:dyDescent="0.25">
      <c r="A185" s="62" t="s">
        <v>1086</v>
      </c>
      <c r="B185" s="51">
        <v>42</v>
      </c>
      <c r="C185" s="51">
        <f>K8</f>
        <v>56</v>
      </c>
      <c r="D185" s="27">
        <f>(C185/B185)-1</f>
        <v>0.33333333333333326</v>
      </c>
    </row>
    <row r="190" spans="1:9" x14ac:dyDescent="0.25">
      <c r="I190">
        <v>61</v>
      </c>
    </row>
    <row r="191" spans="1:9" x14ac:dyDescent="0.25">
      <c r="I191">
        <v>77</v>
      </c>
    </row>
    <row r="192" spans="1:9" x14ac:dyDescent="0.25">
      <c r="I192">
        <f>I191/I190</f>
        <v>1.2622950819672132</v>
      </c>
    </row>
  </sheetData>
  <sortState xmlns:xlrd2="http://schemas.microsoft.com/office/spreadsheetml/2017/richdata2" ref="H80:I84">
    <sortCondition ref="I80:I84"/>
  </sortState>
  <phoneticPr fontId="8" type="noConversion"/>
  <pageMargins left="0.511811024" right="0.511811024" top="0.78740157499999996" bottom="0.78740157499999996" header="0.31496062000000002" footer="0.31496062000000002"/>
  <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FE7E-E26B-4998-A9FA-DEB3A0E61DD8}">
  <dimension ref="A1:V57"/>
  <sheetViews>
    <sheetView workbookViewId="0">
      <selection activeCell="D21" sqref="D21"/>
    </sheetView>
  </sheetViews>
  <sheetFormatPr defaultRowHeight="15" x14ac:dyDescent="0.25"/>
  <cols>
    <col min="1" max="1" width="9.28515625" bestFit="1" customWidth="1"/>
    <col min="2" max="2" width="22" bestFit="1" customWidth="1"/>
    <col min="3" max="3" width="20.5703125" style="3" bestFit="1" customWidth="1"/>
    <col min="4" max="4" width="14.42578125" bestFit="1" customWidth="1"/>
    <col min="5" max="5" width="20.7109375" customWidth="1"/>
    <col min="6" max="6" width="15.85546875" bestFit="1" customWidth="1"/>
    <col min="7" max="7" width="18.5703125" bestFit="1" customWidth="1"/>
    <col min="8" max="8" width="11.140625" bestFit="1" customWidth="1"/>
    <col min="9" max="11" width="21.42578125" bestFit="1" customWidth="1"/>
    <col min="12" max="12" width="255.7109375" bestFit="1" customWidth="1"/>
    <col min="13" max="13" width="18.85546875" customWidth="1"/>
    <col min="14" max="14" width="36.140625" bestFit="1" customWidth="1"/>
    <col min="15" max="15" width="130.42578125" bestFit="1" customWidth="1"/>
    <col min="16" max="16" width="13.42578125" bestFit="1" customWidth="1"/>
    <col min="17" max="17" width="41.7109375" bestFit="1" customWidth="1"/>
    <col min="18" max="18" width="11" bestFit="1" customWidth="1"/>
    <col min="19" max="19" width="30.28515625" bestFit="1" customWidth="1"/>
    <col min="20" max="20" width="24.28515625" bestFit="1" customWidth="1"/>
    <col min="21" max="21" width="9.28515625" bestFit="1" customWidth="1"/>
    <col min="22" max="22" width="30.85546875" bestFit="1" customWidth="1"/>
  </cols>
  <sheetData>
    <row r="1" spans="1:22" x14ac:dyDescent="0.25">
      <c r="A1" t="s">
        <v>0</v>
      </c>
      <c r="B1" t="s">
        <v>2</v>
      </c>
      <c r="C1" s="3" t="s">
        <v>4</v>
      </c>
      <c r="D1" t="s">
        <v>7</v>
      </c>
      <c r="E1" t="s">
        <v>8</v>
      </c>
      <c r="F1" t="s">
        <v>9</v>
      </c>
      <c r="G1" t="s">
        <v>10</v>
      </c>
      <c r="H1" t="s">
        <v>11</v>
      </c>
      <c r="I1" t="s">
        <v>12</v>
      </c>
      <c r="J1" t="s">
        <v>13</v>
      </c>
      <c r="K1" t="s">
        <v>14</v>
      </c>
      <c r="L1" t="s">
        <v>15</v>
      </c>
      <c r="M1" t="s">
        <v>19</v>
      </c>
      <c r="N1" t="s">
        <v>23</v>
      </c>
      <c r="O1" t="s">
        <v>25</v>
      </c>
      <c r="P1" t="s">
        <v>606</v>
      </c>
      <c r="Q1" t="s">
        <v>647</v>
      </c>
      <c r="R1" t="s">
        <v>648</v>
      </c>
      <c r="S1" t="s">
        <v>649</v>
      </c>
      <c r="T1" t="s">
        <v>935</v>
      </c>
      <c r="U1" t="s">
        <v>577</v>
      </c>
      <c r="V1" t="s">
        <v>578</v>
      </c>
    </row>
    <row r="2" spans="1:22" x14ac:dyDescent="0.25">
      <c r="A2" t="s">
        <v>821</v>
      </c>
      <c r="B2" t="s">
        <v>54</v>
      </c>
      <c r="C2" s="58">
        <v>45982</v>
      </c>
      <c r="D2" t="s">
        <v>156</v>
      </c>
      <c r="E2" t="s">
        <v>372</v>
      </c>
      <c r="F2" t="s">
        <v>697</v>
      </c>
      <c r="G2" t="s">
        <v>697</v>
      </c>
      <c r="H2" t="s">
        <v>64</v>
      </c>
      <c r="I2" t="s">
        <v>97</v>
      </c>
      <c r="J2" t="s">
        <v>14</v>
      </c>
      <c r="K2" t="s">
        <v>97</v>
      </c>
      <c r="L2" t="s">
        <v>373</v>
      </c>
      <c r="N2" t="s">
        <v>108</v>
      </c>
      <c r="P2">
        <v>50</v>
      </c>
      <c r="Q2" t="s">
        <v>697</v>
      </c>
      <c r="S2" t="s">
        <v>697</v>
      </c>
      <c r="T2" t="s">
        <v>944</v>
      </c>
      <c r="U2">
        <v>126</v>
      </c>
      <c r="V2" t="s">
        <v>582</v>
      </c>
    </row>
    <row r="3" spans="1:22" x14ac:dyDescent="0.25">
      <c r="A3" t="s">
        <v>879</v>
      </c>
      <c r="B3" t="s">
        <v>34</v>
      </c>
      <c r="C3" s="58">
        <v>45992</v>
      </c>
      <c r="D3" t="s">
        <v>37</v>
      </c>
      <c r="E3" t="s">
        <v>697</v>
      </c>
      <c r="F3" t="s">
        <v>697</v>
      </c>
      <c r="G3" t="s">
        <v>697</v>
      </c>
      <c r="H3" t="s">
        <v>64</v>
      </c>
      <c r="I3" t="s">
        <v>97</v>
      </c>
      <c r="J3" t="s">
        <v>68</v>
      </c>
      <c r="K3" t="s">
        <v>97</v>
      </c>
      <c r="L3" t="s">
        <v>289</v>
      </c>
      <c r="N3" t="s">
        <v>679</v>
      </c>
      <c r="P3">
        <v>25</v>
      </c>
      <c r="Q3" t="s">
        <v>697</v>
      </c>
      <c r="S3" t="s">
        <v>697</v>
      </c>
      <c r="T3" t="s">
        <v>944</v>
      </c>
      <c r="U3">
        <v>74</v>
      </c>
      <c r="V3" t="s">
        <v>581</v>
      </c>
    </row>
    <row r="4" spans="1:22" x14ac:dyDescent="0.25">
      <c r="A4" t="s">
        <v>882</v>
      </c>
      <c r="B4" t="s">
        <v>96</v>
      </c>
      <c r="C4" s="58">
        <v>46000</v>
      </c>
      <c r="D4" t="s">
        <v>37</v>
      </c>
      <c r="E4" t="s">
        <v>697</v>
      </c>
      <c r="F4" t="s">
        <v>883</v>
      </c>
      <c r="G4" t="s">
        <v>697</v>
      </c>
      <c r="H4" t="s">
        <v>64</v>
      </c>
      <c r="I4" t="s">
        <v>97</v>
      </c>
      <c r="J4" t="s">
        <v>68</v>
      </c>
      <c r="K4" t="s">
        <v>97</v>
      </c>
      <c r="L4" t="s">
        <v>295</v>
      </c>
      <c r="N4" t="s">
        <v>77</v>
      </c>
      <c r="P4">
        <v>25</v>
      </c>
      <c r="Q4" t="s">
        <v>697</v>
      </c>
      <c r="S4" t="s">
        <v>697</v>
      </c>
      <c r="T4" t="s">
        <v>944</v>
      </c>
      <c r="U4">
        <v>74</v>
      </c>
      <c r="V4" t="s">
        <v>581</v>
      </c>
    </row>
    <row r="5" spans="1:22" x14ac:dyDescent="0.25">
      <c r="A5" t="s">
        <v>881</v>
      </c>
      <c r="B5" t="s">
        <v>74</v>
      </c>
      <c r="C5" s="58">
        <v>46000</v>
      </c>
      <c r="D5" t="s">
        <v>37</v>
      </c>
      <c r="E5" t="s">
        <v>697</v>
      </c>
      <c r="F5" t="s">
        <v>697</v>
      </c>
      <c r="G5" t="s">
        <v>697</v>
      </c>
      <c r="H5" t="s">
        <v>64</v>
      </c>
      <c r="I5" t="s">
        <v>85</v>
      </c>
      <c r="J5" t="s">
        <v>14</v>
      </c>
      <c r="K5" t="s">
        <v>85</v>
      </c>
      <c r="L5" t="s">
        <v>294</v>
      </c>
      <c r="N5" t="s">
        <v>77</v>
      </c>
      <c r="P5">
        <v>100</v>
      </c>
      <c r="Q5" t="s">
        <v>697</v>
      </c>
      <c r="S5" t="s">
        <v>697</v>
      </c>
      <c r="T5" t="s">
        <v>938</v>
      </c>
      <c r="U5">
        <v>74</v>
      </c>
      <c r="V5" t="s">
        <v>581</v>
      </c>
    </row>
    <row r="6" spans="1:22" x14ac:dyDescent="0.25">
      <c r="A6" t="s">
        <v>880</v>
      </c>
      <c r="B6" t="s">
        <v>96</v>
      </c>
      <c r="C6" s="58">
        <v>46000</v>
      </c>
      <c r="D6" t="s">
        <v>37</v>
      </c>
      <c r="E6" t="s">
        <v>697</v>
      </c>
      <c r="F6" t="s">
        <v>697</v>
      </c>
      <c r="G6" t="s">
        <v>697</v>
      </c>
      <c r="H6" t="s">
        <v>57</v>
      </c>
      <c r="I6" t="s">
        <v>1024</v>
      </c>
      <c r="J6" t="s">
        <v>14</v>
      </c>
      <c r="K6" t="s">
        <v>182</v>
      </c>
      <c r="L6" t="s">
        <v>293</v>
      </c>
      <c r="N6" t="s">
        <v>77</v>
      </c>
      <c r="P6">
        <v>100</v>
      </c>
      <c r="Q6" t="s">
        <v>697</v>
      </c>
      <c r="S6" t="s">
        <v>697</v>
      </c>
      <c r="T6" t="s">
        <v>942</v>
      </c>
      <c r="U6">
        <v>74</v>
      </c>
      <c r="V6" t="s">
        <v>581</v>
      </c>
    </row>
    <row r="7" spans="1:22" x14ac:dyDescent="0.25">
      <c r="A7" t="s">
        <v>878</v>
      </c>
      <c r="B7" t="s">
        <v>74</v>
      </c>
      <c r="C7" s="58">
        <v>46000</v>
      </c>
      <c r="D7" t="s">
        <v>37</v>
      </c>
      <c r="E7" t="s">
        <v>697</v>
      </c>
      <c r="F7" t="s">
        <v>697</v>
      </c>
      <c r="G7" t="s">
        <v>697</v>
      </c>
      <c r="H7" t="s">
        <v>39</v>
      </c>
      <c r="I7" t="s">
        <v>109</v>
      </c>
      <c r="J7" t="s">
        <v>14</v>
      </c>
      <c r="K7" t="s">
        <v>109</v>
      </c>
      <c r="L7" t="s">
        <v>288</v>
      </c>
      <c r="M7" t="s">
        <v>677</v>
      </c>
      <c r="N7" t="s">
        <v>77</v>
      </c>
      <c r="P7">
        <v>100</v>
      </c>
      <c r="Q7" t="s">
        <v>697</v>
      </c>
      <c r="S7" t="s">
        <v>697</v>
      </c>
      <c r="T7" t="s">
        <v>946</v>
      </c>
      <c r="U7">
        <v>74</v>
      </c>
      <c r="V7" t="s">
        <v>581</v>
      </c>
    </row>
    <row r="8" spans="1:22" x14ac:dyDescent="0.25">
      <c r="A8" t="s">
        <v>884</v>
      </c>
      <c r="B8" t="s">
        <v>96</v>
      </c>
      <c r="C8" s="58">
        <v>46001</v>
      </c>
      <c r="D8" t="s">
        <v>37</v>
      </c>
      <c r="E8" t="s">
        <v>697</v>
      </c>
      <c r="F8" t="s">
        <v>697</v>
      </c>
      <c r="G8" t="s">
        <v>697</v>
      </c>
      <c r="H8" t="s">
        <v>64</v>
      </c>
      <c r="I8" t="s">
        <v>107</v>
      </c>
      <c r="J8" t="s">
        <v>14</v>
      </c>
      <c r="K8" t="s">
        <v>107</v>
      </c>
      <c r="L8" t="s">
        <v>296</v>
      </c>
      <c r="N8" t="s">
        <v>77</v>
      </c>
      <c r="P8">
        <v>100</v>
      </c>
      <c r="Q8" t="s">
        <v>697</v>
      </c>
      <c r="S8" t="s">
        <v>697</v>
      </c>
      <c r="T8" t="s">
        <v>938</v>
      </c>
      <c r="U8">
        <v>74</v>
      </c>
      <c r="V8" t="s">
        <v>581</v>
      </c>
    </row>
    <row r="9" spans="1:22" x14ac:dyDescent="0.25">
      <c r="A9" t="s">
        <v>927</v>
      </c>
      <c r="B9" t="s">
        <v>34</v>
      </c>
      <c r="C9" s="58">
        <v>46001</v>
      </c>
      <c r="D9" t="s">
        <v>156</v>
      </c>
      <c r="E9" t="s">
        <v>297</v>
      </c>
      <c r="F9" t="s">
        <v>697</v>
      </c>
      <c r="G9" t="s">
        <v>697</v>
      </c>
      <c r="H9" t="s">
        <v>57</v>
      </c>
      <c r="I9" t="s">
        <v>1024</v>
      </c>
      <c r="J9" t="s">
        <v>14</v>
      </c>
      <c r="K9" t="s">
        <v>182</v>
      </c>
      <c r="L9" t="s">
        <v>298</v>
      </c>
      <c r="N9" t="s">
        <v>108</v>
      </c>
      <c r="P9">
        <v>50</v>
      </c>
      <c r="Q9" t="s">
        <v>669</v>
      </c>
      <c r="S9" t="s">
        <v>688</v>
      </c>
      <c r="T9" t="s">
        <v>942</v>
      </c>
      <c r="U9">
        <v>34</v>
      </c>
      <c r="V9" t="s">
        <v>582</v>
      </c>
    </row>
    <row r="10" spans="1:22" x14ac:dyDescent="0.25">
      <c r="A10" t="s">
        <v>825</v>
      </c>
      <c r="B10" t="s">
        <v>34</v>
      </c>
      <c r="C10" s="58">
        <v>46080</v>
      </c>
      <c r="D10" t="s">
        <v>156</v>
      </c>
      <c r="E10" t="s">
        <v>228</v>
      </c>
      <c r="F10" t="s">
        <v>826</v>
      </c>
      <c r="G10" t="s">
        <v>697</v>
      </c>
      <c r="H10" t="s">
        <v>39</v>
      </c>
      <c r="I10" t="s">
        <v>52</v>
      </c>
      <c r="J10" t="s">
        <v>14</v>
      </c>
      <c r="K10" t="s">
        <v>52</v>
      </c>
      <c r="L10" t="s">
        <v>229</v>
      </c>
      <c r="N10" t="s">
        <v>77</v>
      </c>
      <c r="O10" t="s">
        <v>231</v>
      </c>
      <c r="P10">
        <v>50</v>
      </c>
      <c r="Q10" t="s">
        <v>697</v>
      </c>
      <c r="S10" t="s">
        <v>697</v>
      </c>
      <c r="T10" t="s">
        <v>943</v>
      </c>
      <c r="U10">
        <v>49</v>
      </c>
      <c r="V10" t="s">
        <v>581</v>
      </c>
    </row>
    <row r="11" spans="1:22" x14ac:dyDescent="0.25">
      <c r="A11" t="s">
        <v>825</v>
      </c>
      <c r="B11" t="s">
        <v>96</v>
      </c>
      <c r="C11" s="58">
        <v>46080</v>
      </c>
      <c r="D11" t="s">
        <v>156</v>
      </c>
      <c r="E11" t="s">
        <v>228</v>
      </c>
      <c r="F11" t="s">
        <v>826</v>
      </c>
      <c r="G11" t="s">
        <v>697</v>
      </c>
      <c r="H11" t="s">
        <v>39</v>
      </c>
      <c r="I11" t="s">
        <v>52</v>
      </c>
      <c r="J11" t="s">
        <v>14</v>
      </c>
      <c r="K11" t="s">
        <v>52</v>
      </c>
      <c r="L11" t="s">
        <v>229</v>
      </c>
      <c r="N11" t="s">
        <v>77</v>
      </c>
      <c r="O11" t="s">
        <v>231</v>
      </c>
      <c r="P11">
        <v>50</v>
      </c>
      <c r="Q11" t="s">
        <v>658</v>
      </c>
      <c r="S11" t="s">
        <v>659</v>
      </c>
      <c r="T11" t="s">
        <v>943</v>
      </c>
      <c r="U11">
        <v>13</v>
      </c>
      <c r="V11" t="s">
        <v>581</v>
      </c>
    </row>
    <row r="12" spans="1:22" x14ac:dyDescent="0.25">
      <c r="A12" t="s">
        <v>744</v>
      </c>
      <c r="B12" t="s">
        <v>34</v>
      </c>
      <c r="C12" s="58">
        <v>46083</v>
      </c>
      <c r="D12" t="s">
        <v>156</v>
      </c>
      <c r="E12" t="s">
        <v>697</v>
      </c>
      <c r="F12" t="s">
        <v>745</v>
      </c>
      <c r="G12" t="s">
        <v>697</v>
      </c>
      <c r="H12" t="s">
        <v>57</v>
      </c>
      <c r="I12" t="s">
        <v>163</v>
      </c>
      <c r="J12" t="s">
        <v>102</v>
      </c>
      <c r="K12" t="s">
        <v>163</v>
      </c>
      <c r="L12" t="s">
        <v>631</v>
      </c>
      <c r="N12" t="s">
        <v>108</v>
      </c>
      <c r="O12" t="s">
        <v>633</v>
      </c>
      <c r="P12">
        <v>100</v>
      </c>
      <c r="Q12" t="s">
        <v>697</v>
      </c>
      <c r="S12" t="s">
        <v>697</v>
      </c>
      <c r="T12" t="s">
        <v>939</v>
      </c>
      <c r="U12">
        <v>43</v>
      </c>
      <c r="V12" t="s">
        <v>582</v>
      </c>
    </row>
    <row r="13" spans="1:22" x14ac:dyDescent="0.25">
      <c r="A13" t="s">
        <v>701</v>
      </c>
      <c r="B13" t="s">
        <v>34</v>
      </c>
      <c r="C13" s="58">
        <v>46084</v>
      </c>
      <c r="D13" t="s">
        <v>37</v>
      </c>
      <c r="E13" t="s">
        <v>697</v>
      </c>
      <c r="F13" t="s">
        <v>702</v>
      </c>
      <c r="G13" t="s">
        <v>697</v>
      </c>
      <c r="H13" t="s">
        <v>57</v>
      </c>
      <c r="I13" t="s">
        <v>163</v>
      </c>
      <c r="J13" t="s">
        <v>102</v>
      </c>
      <c r="K13" t="s">
        <v>163</v>
      </c>
      <c r="L13" t="s">
        <v>164</v>
      </c>
      <c r="N13" t="s">
        <v>108</v>
      </c>
      <c r="P13">
        <v>100</v>
      </c>
      <c r="Q13" t="s">
        <v>697</v>
      </c>
      <c r="S13" t="s">
        <v>697</v>
      </c>
      <c r="T13" t="s">
        <v>939</v>
      </c>
      <c r="U13">
        <v>36</v>
      </c>
      <c r="V13" t="s">
        <v>582</v>
      </c>
    </row>
    <row r="14" spans="1:22" x14ac:dyDescent="0.25">
      <c r="A14" t="s">
        <v>701</v>
      </c>
      <c r="B14" t="s">
        <v>103</v>
      </c>
      <c r="C14" s="58">
        <v>46084</v>
      </c>
      <c r="D14" t="s">
        <v>37</v>
      </c>
      <c r="E14" t="s">
        <v>162</v>
      </c>
      <c r="F14" t="s">
        <v>702</v>
      </c>
      <c r="G14" t="s">
        <v>697</v>
      </c>
      <c r="H14" t="s">
        <v>57</v>
      </c>
      <c r="I14" t="s">
        <v>163</v>
      </c>
      <c r="J14" t="s">
        <v>102</v>
      </c>
      <c r="K14" t="s">
        <v>163</v>
      </c>
      <c r="L14" t="s">
        <v>164</v>
      </c>
      <c r="N14" t="s">
        <v>36</v>
      </c>
      <c r="P14">
        <v>50</v>
      </c>
      <c r="Q14" t="s">
        <v>697</v>
      </c>
      <c r="S14" t="s">
        <v>778</v>
      </c>
      <c r="T14" t="s">
        <v>939</v>
      </c>
      <c r="U14">
        <v>12</v>
      </c>
      <c r="V14" t="s">
        <v>584</v>
      </c>
    </row>
    <row r="15" spans="1:22" x14ac:dyDescent="0.25">
      <c r="A15" t="s">
        <v>887</v>
      </c>
      <c r="B15" t="s">
        <v>74</v>
      </c>
      <c r="C15" s="58">
        <v>46085</v>
      </c>
      <c r="D15" t="s">
        <v>37</v>
      </c>
      <c r="E15" t="s">
        <v>697</v>
      </c>
      <c r="F15" t="s">
        <v>697</v>
      </c>
      <c r="G15" t="s">
        <v>697</v>
      </c>
      <c r="H15" t="s">
        <v>64</v>
      </c>
      <c r="I15" t="s">
        <v>205</v>
      </c>
      <c r="J15" t="s">
        <v>80</v>
      </c>
      <c r="K15" t="s">
        <v>205</v>
      </c>
      <c r="L15" t="s">
        <v>305</v>
      </c>
      <c r="N15" t="s">
        <v>77</v>
      </c>
      <c r="O15" t="s">
        <v>306</v>
      </c>
      <c r="P15">
        <v>100</v>
      </c>
      <c r="Q15" t="s">
        <v>697</v>
      </c>
      <c r="S15" t="s">
        <v>697</v>
      </c>
      <c r="T15" t="s">
        <v>938</v>
      </c>
      <c r="U15">
        <v>60</v>
      </c>
      <c r="V15" t="s">
        <v>581</v>
      </c>
    </row>
    <row r="16" spans="1:22" x14ac:dyDescent="0.25">
      <c r="A16" t="s">
        <v>885</v>
      </c>
      <c r="B16" t="s">
        <v>96</v>
      </c>
      <c r="C16" s="58">
        <v>46092</v>
      </c>
      <c r="D16" t="s">
        <v>37</v>
      </c>
      <c r="E16" t="s">
        <v>697</v>
      </c>
      <c r="F16" t="s">
        <v>886</v>
      </c>
      <c r="G16" t="s">
        <v>697</v>
      </c>
      <c r="H16" t="s">
        <v>39</v>
      </c>
      <c r="I16" t="s">
        <v>160</v>
      </c>
      <c r="J16" t="s">
        <v>102</v>
      </c>
      <c r="K16" t="s">
        <v>160</v>
      </c>
      <c r="L16" t="s">
        <v>304</v>
      </c>
      <c r="N16" t="s">
        <v>77</v>
      </c>
      <c r="P16">
        <v>100</v>
      </c>
      <c r="Q16" t="s">
        <v>697</v>
      </c>
      <c r="S16" t="s">
        <v>697</v>
      </c>
      <c r="T16" t="s">
        <v>945</v>
      </c>
      <c r="U16">
        <v>61</v>
      </c>
      <c r="V16" t="s">
        <v>581</v>
      </c>
    </row>
    <row r="17" spans="1:22" x14ac:dyDescent="0.25">
      <c r="A17" t="s">
        <v>933</v>
      </c>
      <c r="B17" t="s">
        <v>34</v>
      </c>
      <c r="C17" s="58">
        <v>46125</v>
      </c>
      <c r="D17" t="s">
        <v>156</v>
      </c>
      <c r="E17" t="s">
        <v>511</v>
      </c>
      <c r="F17" t="s">
        <v>934</v>
      </c>
      <c r="G17" t="s">
        <v>697</v>
      </c>
      <c r="H17" t="s">
        <v>39</v>
      </c>
      <c r="I17" t="s">
        <v>125</v>
      </c>
      <c r="J17" t="s">
        <v>102</v>
      </c>
      <c r="K17" t="s">
        <v>125</v>
      </c>
      <c r="L17" t="s">
        <v>512</v>
      </c>
      <c r="N17" t="s">
        <v>108</v>
      </c>
      <c r="P17">
        <v>50</v>
      </c>
      <c r="Q17" t="s">
        <v>669</v>
      </c>
      <c r="S17" t="s">
        <v>688</v>
      </c>
      <c r="T17" t="s">
        <v>945</v>
      </c>
      <c r="U17">
        <v>34</v>
      </c>
      <c r="V17" t="s">
        <v>582</v>
      </c>
    </row>
    <row r="18" spans="1:22" x14ac:dyDescent="0.25">
      <c r="A18" t="s">
        <v>830</v>
      </c>
      <c r="B18" t="s">
        <v>54</v>
      </c>
      <c r="C18" s="58">
        <v>46135</v>
      </c>
      <c r="D18" t="s">
        <v>37</v>
      </c>
      <c r="E18" t="s">
        <v>1017</v>
      </c>
      <c r="F18" t="s">
        <v>831</v>
      </c>
      <c r="G18" t="s">
        <v>697</v>
      </c>
      <c r="H18" t="s">
        <v>39</v>
      </c>
      <c r="I18" t="s">
        <v>160</v>
      </c>
      <c r="J18" t="s">
        <v>68</v>
      </c>
      <c r="K18" t="s">
        <v>160</v>
      </c>
      <c r="L18" t="s">
        <v>407</v>
      </c>
      <c r="N18" t="s">
        <v>75</v>
      </c>
      <c r="O18" t="s">
        <v>408</v>
      </c>
      <c r="P18">
        <v>12.5</v>
      </c>
      <c r="Q18" t="s">
        <v>697</v>
      </c>
      <c r="S18" t="s">
        <v>697</v>
      </c>
      <c r="T18" t="s">
        <v>945</v>
      </c>
      <c r="U18">
        <v>31</v>
      </c>
      <c r="V18" t="s">
        <v>585</v>
      </c>
    </row>
    <row r="19" spans="1:22" x14ac:dyDescent="0.25">
      <c r="A19" t="s">
        <v>795</v>
      </c>
      <c r="B19" t="s">
        <v>74</v>
      </c>
      <c r="C19" s="58">
        <v>46136</v>
      </c>
      <c r="D19" t="s">
        <v>156</v>
      </c>
      <c r="E19" t="s">
        <v>697</v>
      </c>
      <c r="F19" t="s">
        <v>697</v>
      </c>
      <c r="G19" t="s">
        <v>697</v>
      </c>
      <c r="H19" t="s">
        <v>64</v>
      </c>
      <c r="I19" t="s">
        <v>115</v>
      </c>
      <c r="J19" t="s">
        <v>14</v>
      </c>
      <c r="K19" t="s">
        <v>115</v>
      </c>
      <c r="L19" t="s">
        <v>189</v>
      </c>
      <c r="N19" t="s">
        <v>77</v>
      </c>
      <c r="O19" t="s">
        <v>191</v>
      </c>
      <c r="P19">
        <v>100</v>
      </c>
      <c r="Q19" t="s">
        <v>697</v>
      </c>
      <c r="S19" t="s">
        <v>697</v>
      </c>
      <c r="T19" t="s">
        <v>938</v>
      </c>
      <c r="U19">
        <v>19</v>
      </c>
      <c r="V19" t="s">
        <v>581</v>
      </c>
    </row>
    <row r="20" spans="1:22" x14ac:dyDescent="0.25">
      <c r="A20" t="s">
        <v>888</v>
      </c>
      <c r="B20" t="s">
        <v>96</v>
      </c>
      <c r="C20" s="58">
        <v>46146</v>
      </c>
      <c r="D20" t="s">
        <v>37</v>
      </c>
      <c r="E20" t="s">
        <v>697</v>
      </c>
      <c r="F20" t="s">
        <v>889</v>
      </c>
      <c r="G20" t="s">
        <v>697</v>
      </c>
      <c r="H20" t="s">
        <v>39</v>
      </c>
      <c r="I20" t="s">
        <v>213</v>
      </c>
      <c r="J20" t="s">
        <v>68</v>
      </c>
      <c r="K20" t="s">
        <v>213</v>
      </c>
      <c r="L20" t="s">
        <v>310</v>
      </c>
      <c r="N20" t="s">
        <v>721</v>
      </c>
      <c r="P20">
        <v>25</v>
      </c>
      <c r="Q20" t="s">
        <v>697</v>
      </c>
      <c r="S20" t="s">
        <v>697</v>
      </c>
      <c r="T20" t="s">
        <v>946</v>
      </c>
      <c r="U20">
        <v>70</v>
      </c>
      <c r="V20" t="s">
        <v>581</v>
      </c>
    </row>
    <row r="21" spans="1:22" x14ac:dyDescent="0.25">
      <c r="A21" t="s">
        <v>929</v>
      </c>
      <c r="B21" t="s">
        <v>34</v>
      </c>
      <c r="C21" s="58">
        <v>46154</v>
      </c>
      <c r="D21" t="s">
        <v>156</v>
      </c>
      <c r="E21" t="s">
        <v>697</v>
      </c>
      <c r="F21" t="s">
        <v>930</v>
      </c>
      <c r="G21" t="s">
        <v>697</v>
      </c>
      <c r="H21" t="s">
        <v>39</v>
      </c>
      <c r="I21" t="s">
        <v>45</v>
      </c>
      <c r="J21" t="s">
        <v>68</v>
      </c>
      <c r="K21" t="s">
        <v>45</v>
      </c>
      <c r="L21" t="s">
        <v>299</v>
      </c>
      <c r="N21" t="s">
        <v>108</v>
      </c>
      <c r="O21" t="s">
        <v>300</v>
      </c>
      <c r="P21">
        <v>25</v>
      </c>
      <c r="Q21" t="s">
        <v>697</v>
      </c>
      <c r="S21" t="s">
        <v>697</v>
      </c>
      <c r="T21" t="s">
        <v>948</v>
      </c>
      <c r="U21">
        <v>69</v>
      </c>
      <c r="V21" t="s">
        <v>584</v>
      </c>
    </row>
    <row r="22" spans="1:22" x14ac:dyDescent="0.25">
      <c r="A22" t="s">
        <v>929</v>
      </c>
      <c r="B22" t="s">
        <v>34</v>
      </c>
      <c r="C22" s="58">
        <v>46154</v>
      </c>
      <c r="D22" t="s">
        <v>156</v>
      </c>
      <c r="E22" t="s">
        <v>697</v>
      </c>
      <c r="F22" t="s">
        <v>930</v>
      </c>
      <c r="G22" t="s">
        <v>697</v>
      </c>
      <c r="H22" t="s">
        <v>39</v>
      </c>
      <c r="I22" t="s">
        <v>45</v>
      </c>
      <c r="J22" t="s">
        <v>68</v>
      </c>
      <c r="K22" t="s">
        <v>45</v>
      </c>
      <c r="L22" t="s">
        <v>299</v>
      </c>
      <c r="N22" t="s">
        <v>77</v>
      </c>
      <c r="O22" t="s">
        <v>300</v>
      </c>
      <c r="P22">
        <v>25</v>
      </c>
      <c r="Q22" t="s">
        <v>697</v>
      </c>
      <c r="S22" t="s">
        <v>697</v>
      </c>
      <c r="T22" t="s">
        <v>948</v>
      </c>
      <c r="U22">
        <v>69</v>
      </c>
      <c r="V22" t="s">
        <v>581</v>
      </c>
    </row>
    <row r="23" spans="1:22" x14ac:dyDescent="0.25">
      <c r="A23" t="s">
        <v>928</v>
      </c>
      <c r="B23" t="s">
        <v>34</v>
      </c>
      <c r="C23" s="58">
        <v>46155</v>
      </c>
      <c r="D23" t="s">
        <v>156</v>
      </c>
      <c r="E23" t="s">
        <v>697</v>
      </c>
      <c r="F23" t="s">
        <v>697</v>
      </c>
      <c r="G23" t="s">
        <v>697</v>
      </c>
      <c r="H23" t="s">
        <v>39</v>
      </c>
      <c r="I23" t="s">
        <v>264</v>
      </c>
      <c r="J23" t="s">
        <v>14</v>
      </c>
      <c r="K23" t="s">
        <v>264</v>
      </c>
      <c r="L23" t="s">
        <v>500</v>
      </c>
      <c r="N23" t="s">
        <v>108</v>
      </c>
      <c r="O23" t="s">
        <v>501</v>
      </c>
      <c r="P23">
        <v>100</v>
      </c>
      <c r="Q23" t="s">
        <v>697</v>
      </c>
      <c r="S23" t="s">
        <v>697</v>
      </c>
      <c r="T23" t="s">
        <v>948</v>
      </c>
      <c r="U23">
        <v>69</v>
      </c>
      <c r="V23" t="s">
        <v>582</v>
      </c>
    </row>
    <row r="24" spans="1:22" x14ac:dyDescent="0.25">
      <c r="A24" t="s">
        <v>922</v>
      </c>
      <c r="B24" t="s">
        <v>34</v>
      </c>
      <c r="C24" s="58">
        <v>46156</v>
      </c>
      <c r="D24" t="s">
        <v>156</v>
      </c>
      <c r="E24" t="s">
        <v>516</v>
      </c>
      <c r="F24" t="s">
        <v>697</v>
      </c>
      <c r="G24" t="s">
        <v>697</v>
      </c>
      <c r="H24" t="s">
        <v>39</v>
      </c>
      <c r="I24" t="s">
        <v>95</v>
      </c>
      <c r="J24" t="s">
        <v>14</v>
      </c>
      <c r="K24" t="s">
        <v>95</v>
      </c>
      <c r="L24" t="s">
        <v>312</v>
      </c>
      <c r="N24" t="s">
        <v>108</v>
      </c>
      <c r="O24" t="s">
        <v>314</v>
      </c>
      <c r="P24">
        <v>50</v>
      </c>
      <c r="Q24" t="s">
        <v>669</v>
      </c>
      <c r="S24" t="s">
        <v>688</v>
      </c>
      <c r="T24" t="s">
        <v>949</v>
      </c>
      <c r="U24">
        <v>33</v>
      </c>
      <c r="V24" t="s">
        <v>582</v>
      </c>
    </row>
    <row r="25" spans="1:22" x14ac:dyDescent="0.25">
      <c r="A25" t="s">
        <v>1047</v>
      </c>
      <c r="B25" t="s">
        <v>43</v>
      </c>
      <c r="C25" s="66">
        <v>46161.041666666664</v>
      </c>
      <c r="D25" t="s">
        <v>37</v>
      </c>
      <c r="E25" t="s">
        <v>697</v>
      </c>
      <c r="F25" t="s">
        <v>697</v>
      </c>
      <c r="G25" t="s">
        <v>710</v>
      </c>
      <c r="H25" t="s">
        <v>39</v>
      </c>
      <c r="I25" t="s">
        <v>120</v>
      </c>
      <c r="J25" t="s">
        <v>102</v>
      </c>
      <c r="K25" t="s">
        <v>120</v>
      </c>
      <c r="L25" t="s">
        <v>1048</v>
      </c>
      <c r="N25" t="s">
        <v>72</v>
      </c>
      <c r="O25" t="s">
        <v>1050</v>
      </c>
      <c r="P25">
        <v>100</v>
      </c>
      <c r="Q25" t="s">
        <v>697</v>
      </c>
      <c r="S25" t="s">
        <v>697</v>
      </c>
      <c r="T25" t="s">
        <v>943</v>
      </c>
      <c r="U25">
        <v>8</v>
      </c>
      <c r="V25" t="s">
        <v>579</v>
      </c>
    </row>
    <row r="26" spans="1:22" x14ac:dyDescent="0.25">
      <c r="A26" t="s">
        <v>876</v>
      </c>
      <c r="B26" t="s">
        <v>96</v>
      </c>
      <c r="C26" s="58">
        <v>46168</v>
      </c>
      <c r="D26" t="s">
        <v>37</v>
      </c>
      <c r="E26" t="s">
        <v>697</v>
      </c>
      <c r="F26" t="s">
        <v>697</v>
      </c>
      <c r="G26" t="s">
        <v>697</v>
      </c>
      <c r="H26" t="s">
        <v>64</v>
      </c>
      <c r="I26" t="s">
        <v>65</v>
      </c>
      <c r="J26" t="s">
        <v>80</v>
      </c>
      <c r="K26" t="s">
        <v>65</v>
      </c>
      <c r="L26" t="s">
        <v>283</v>
      </c>
      <c r="N26" t="s">
        <v>721</v>
      </c>
      <c r="O26" t="s">
        <v>219</v>
      </c>
      <c r="P26">
        <v>100</v>
      </c>
      <c r="Q26" t="s">
        <v>697</v>
      </c>
      <c r="S26" t="s">
        <v>697</v>
      </c>
      <c r="T26" t="s">
        <v>937</v>
      </c>
      <c r="U26">
        <v>94</v>
      </c>
      <c r="V26" t="s">
        <v>581</v>
      </c>
    </row>
    <row r="27" spans="1:22" x14ac:dyDescent="0.25">
      <c r="A27" t="s">
        <v>877</v>
      </c>
      <c r="B27" t="s">
        <v>96</v>
      </c>
      <c r="C27" s="58">
        <v>46171</v>
      </c>
      <c r="D27" t="s">
        <v>37</v>
      </c>
      <c r="E27" t="s">
        <v>697</v>
      </c>
      <c r="F27" t="s">
        <v>697</v>
      </c>
      <c r="G27" t="s">
        <v>697</v>
      </c>
      <c r="H27" t="s">
        <v>39</v>
      </c>
      <c r="I27" t="s">
        <v>160</v>
      </c>
      <c r="J27" t="s">
        <v>68</v>
      </c>
      <c r="K27" t="s">
        <v>160</v>
      </c>
      <c r="L27" t="s">
        <v>285</v>
      </c>
      <c r="N27" t="s">
        <v>77</v>
      </c>
      <c r="O27" t="s">
        <v>287</v>
      </c>
      <c r="P27">
        <v>25</v>
      </c>
      <c r="Q27" t="s">
        <v>697</v>
      </c>
      <c r="S27" t="s">
        <v>697</v>
      </c>
      <c r="T27" t="s">
        <v>945</v>
      </c>
      <c r="U27">
        <v>58</v>
      </c>
      <c r="V27" t="s">
        <v>581</v>
      </c>
    </row>
    <row r="28" spans="1:22" x14ac:dyDescent="0.25">
      <c r="A28" t="s">
        <v>931</v>
      </c>
      <c r="B28" t="s">
        <v>43</v>
      </c>
      <c r="C28" s="58">
        <v>46184</v>
      </c>
      <c r="D28" t="s">
        <v>37</v>
      </c>
      <c r="E28" t="s">
        <v>697</v>
      </c>
      <c r="F28" t="s">
        <v>697</v>
      </c>
      <c r="G28" t="s">
        <v>874</v>
      </c>
      <c r="H28" t="s">
        <v>64</v>
      </c>
      <c r="I28" t="s">
        <v>85</v>
      </c>
      <c r="J28" t="s">
        <v>14</v>
      </c>
      <c r="K28" t="s">
        <v>85</v>
      </c>
      <c r="L28" t="s">
        <v>1022</v>
      </c>
      <c r="N28" t="s">
        <v>72</v>
      </c>
      <c r="O28" t="s">
        <v>302</v>
      </c>
      <c r="P28">
        <v>100</v>
      </c>
      <c r="Q28" t="s">
        <v>697</v>
      </c>
      <c r="S28" t="s">
        <v>697</v>
      </c>
      <c r="T28" t="s">
        <v>938</v>
      </c>
      <c r="U28">
        <v>85</v>
      </c>
      <c r="V28" t="s">
        <v>579</v>
      </c>
    </row>
    <row r="29" spans="1:22" x14ac:dyDescent="0.25">
      <c r="A29" t="s">
        <v>919</v>
      </c>
      <c r="B29" t="s">
        <v>34</v>
      </c>
      <c r="C29" s="58">
        <v>46184</v>
      </c>
      <c r="D29" t="s">
        <v>156</v>
      </c>
      <c r="E29" t="s">
        <v>1026</v>
      </c>
      <c r="F29" t="s">
        <v>697</v>
      </c>
      <c r="G29" t="s">
        <v>697</v>
      </c>
      <c r="H29" t="s">
        <v>57</v>
      </c>
      <c r="I29" t="s">
        <v>184</v>
      </c>
      <c r="J29" t="s">
        <v>68</v>
      </c>
      <c r="K29" t="s">
        <v>184</v>
      </c>
      <c r="L29" t="s">
        <v>503</v>
      </c>
      <c r="N29" t="s">
        <v>108</v>
      </c>
      <c r="O29" t="s">
        <v>505</v>
      </c>
      <c r="P29">
        <v>12.5</v>
      </c>
      <c r="Q29" t="s">
        <v>669</v>
      </c>
      <c r="S29" t="s">
        <v>688</v>
      </c>
      <c r="T29" t="s">
        <v>942</v>
      </c>
      <c r="U29">
        <v>20</v>
      </c>
      <c r="V29" t="s">
        <v>582</v>
      </c>
    </row>
    <row r="30" spans="1:22" x14ac:dyDescent="0.25">
      <c r="A30" t="s">
        <v>792</v>
      </c>
      <c r="B30" t="s">
        <v>34</v>
      </c>
      <c r="C30" s="58">
        <v>46184</v>
      </c>
      <c r="D30" t="s">
        <v>156</v>
      </c>
      <c r="E30" t="s">
        <v>697</v>
      </c>
      <c r="F30" t="s">
        <v>697</v>
      </c>
      <c r="G30" t="s">
        <v>697</v>
      </c>
      <c r="H30" t="s">
        <v>39</v>
      </c>
      <c r="I30" t="s">
        <v>1013</v>
      </c>
      <c r="J30" t="s">
        <v>14</v>
      </c>
      <c r="K30" t="s">
        <v>167</v>
      </c>
      <c r="L30" t="s">
        <v>168</v>
      </c>
      <c r="N30" t="s">
        <v>108</v>
      </c>
      <c r="O30" t="s">
        <v>169</v>
      </c>
      <c r="P30">
        <v>75</v>
      </c>
      <c r="Q30" t="s">
        <v>697</v>
      </c>
      <c r="S30" t="s">
        <v>697</v>
      </c>
      <c r="T30" t="s">
        <v>949</v>
      </c>
      <c r="U30">
        <v>41</v>
      </c>
      <c r="V30" t="s">
        <v>582</v>
      </c>
    </row>
    <row r="31" spans="1:22" x14ac:dyDescent="0.25">
      <c r="A31" t="s">
        <v>793</v>
      </c>
      <c r="B31" t="s">
        <v>54</v>
      </c>
      <c r="C31" s="58">
        <v>46225</v>
      </c>
      <c r="D31" t="s">
        <v>156</v>
      </c>
      <c r="E31" t="s">
        <v>1074</v>
      </c>
      <c r="F31" t="s">
        <v>697</v>
      </c>
      <c r="G31" t="s">
        <v>794</v>
      </c>
      <c r="H31" t="s">
        <v>64</v>
      </c>
      <c r="I31" t="s">
        <v>97</v>
      </c>
      <c r="J31" t="s">
        <v>14</v>
      </c>
      <c r="K31" t="s">
        <v>97</v>
      </c>
      <c r="L31" t="s">
        <v>175</v>
      </c>
      <c r="N31" t="s">
        <v>49</v>
      </c>
      <c r="O31" t="s">
        <v>176</v>
      </c>
      <c r="P31">
        <v>50</v>
      </c>
      <c r="Q31" t="s">
        <v>777</v>
      </c>
      <c r="S31" t="s">
        <v>778</v>
      </c>
      <c r="T31" t="s">
        <v>944</v>
      </c>
      <c r="U31">
        <v>3</v>
      </c>
      <c r="V31" t="s">
        <v>584</v>
      </c>
    </row>
    <row r="32" spans="1:22" x14ac:dyDescent="0.25">
      <c r="A32" t="s">
        <v>793</v>
      </c>
      <c r="B32" t="s">
        <v>43</v>
      </c>
      <c r="C32" s="58">
        <v>46225</v>
      </c>
      <c r="D32" t="s">
        <v>156</v>
      </c>
      <c r="E32" t="s">
        <v>1074</v>
      </c>
      <c r="F32" t="s">
        <v>697</v>
      </c>
      <c r="G32" t="s">
        <v>794</v>
      </c>
      <c r="H32" t="s">
        <v>64</v>
      </c>
      <c r="I32" t="s">
        <v>97</v>
      </c>
      <c r="J32" t="s">
        <v>14</v>
      </c>
      <c r="K32" t="s">
        <v>97</v>
      </c>
      <c r="L32" t="s">
        <v>175</v>
      </c>
      <c r="N32" t="s">
        <v>72</v>
      </c>
      <c r="O32" t="s">
        <v>176</v>
      </c>
      <c r="P32">
        <v>50</v>
      </c>
      <c r="Q32" t="s">
        <v>654</v>
      </c>
      <c r="S32" t="s">
        <v>653</v>
      </c>
      <c r="T32" t="s">
        <v>944</v>
      </c>
      <c r="U32">
        <v>3</v>
      </c>
      <c r="V32" t="s">
        <v>579</v>
      </c>
    </row>
    <row r="33" spans="1:22" x14ac:dyDescent="0.25">
      <c r="A33" t="s">
        <v>703</v>
      </c>
      <c r="B33" t="s">
        <v>43</v>
      </c>
      <c r="C33" s="58">
        <v>46227</v>
      </c>
      <c r="D33" t="s">
        <v>37</v>
      </c>
      <c r="E33" t="s">
        <v>697</v>
      </c>
      <c r="F33" t="s">
        <v>697</v>
      </c>
      <c r="G33" t="s">
        <v>704</v>
      </c>
      <c r="H33" t="s">
        <v>39</v>
      </c>
      <c r="I33" t="s">
        <v>76</v>
      </c>
      <c r="J33" t="s">
        <v>14</v>
      </c>
      <c r="K33" t="s">
        <v>76</v>
      </c>
      <c r="L33" t="s">
        <v>188</v>
      </c>
      <c r="M33" t="s">
        <v>967</v>
      </c>
      <c r="N33" t="s">
        <v>72</v>
      </c>
      <c r="P33">
        <v>100</v>
      </c>
      <c r="Q33" t="s">
        <v>697</v>
      </c>
      <c r="S33" t="s">
        <v>697</v>
      </c>
      <c r="T33" t="s">
        <v>943</v>
      </c>
      <c r="U33">
        <v>36</v>
      </c>
      <c r="V33" t="s">
        <v>579</v>
      </c>
    </row>
    <row r="34" spans="1:22" x14ac:dyDescent="0.25">
      <c r="A34" t="s">
        <v>725</v>
      </c>
      <c r="B34" t="s">
        <v>133</v>
      </c>
      <c r="C34" s="58">
        <v>46234</v>
      </c>
      <c r="D34" t="s">
        <v>156</v>
      </c>
      <c r="E34" t="s">
        <v>185</v>
      </c>
      <c r="F34" t="s">
        <v>697</v>
      </c>
      <c r="G34" t="s">
        <v>697</v>
      </c>
      <c r="H34" t="s">
        <v>39</v>
      </c>
      <c r="I34" t="s">
        <v>45</v>
      </c>
      <c r="J34" t="s">
        <v>68</v>
      </c>
      <c r="K34" t="s">
        <v>45</v>
      </c>
      <c r="L34" t="s">
        <v>135</v>
      </c>
      <c r="N34" t="s">
        <v>1014</v>
      </c>
      <c r="O34" t="s">
        <v>136</v>
      </c>
      <c r="P34">
        <v>12.5</v>
      </c>
      <c r="Q34" t="s">
        <v>697</v>
      </c>
      <c r="S34" t="s">
        <v>697</v>
      </c>
      <c r="T34" t="s">
        <v>948</v>
      </c>
      <c r="U34">
        <v>40</v>
      </c>
      <c r="V34" t="s">
        <v>585</v>
      </c>
    </row>
    <row r="35" spans="1:22" x14ac:dyDescent="0.25">
      <c r="A35" t="s">
        <v>741</v>
      </c>
      <c r="B35" t="s">
        <v>43</v>
      </c>
      <c r="C35" s="58">
        <v>46237</v>
      </c>
      <c r="D35" t="s">
        <v>37</v>
      </c>
      <c r="E35" t="s">
        <v>697</v>
      </c>
      <c r="F35" t="s">
        <v>697</v>
      </c>
      <c r="G35" t="s">
        <v>742</v>
      </c>
      <c r="H35" t="s">
        <v>39</v>
      </c>
      <c r="I35" t="s">
        <v>397</v>
      </c>
      <c r="J35" t="s">
        <v>14</v>
      </c>
      <c r="K35" t="s">
        <v>397</v>
      </c>
      <c r="L35" t="s">
        <v>629</v>
      </c>
      <c r="M35" t="s">
        <v>957</v>
      </c>
      <c r="N35" t="s">
        <v>72</v>
      </c>
      <c r="O35" t="s">
        <v>630</v>
      </c>
      <c r="P35">
        <v>100</v>
      </c>
      <c r="Q35" t="s">
        <v>697</v>
      </c>
      <c r="S35" t="s">
        <v>697</v>
      </c>
      <c r="T35" t="s">
        <v>945</v>
      </c>
      <c r="U35">
        <v>7</v>
      </c>
      <c r="V35" t="s">
        <v>579</v>
      </c>
    </row>
    <row r="36" spans="1:22" x14ac:dyDescent="0.25">
      <c r="A36" t="s">
        <v>869</v>
      </c>
      <c r="B36" t="s">
        <v>103</v>
      </c>
      <c r="C36" s="58">
        <v>46238</v>
      </c>
      <c r="D36" t="s">
        <v>156</v>
      </c>
      <c r="E36" t="s">
        <v>697</v>
      </c>
      <c r="F36" t="s">
        <v>697</v>
      </c>
      <c r="G36" t="s">
        <v>697</v>
      </c>
      <c r="H36" t="s">
        <v>57</v>
      </c>
      <c r="I36" t="s">
        <v>1024</v>
      </c>
      <c r="J36" t="s">
        <v>14</v>
      </c>
      <c r="K36" t="s">
        <v>182</v>
      </c>
      <c r="L36" t="s">
        <v>261</v>
      </c>
      <c r="N36" t="s">
        <v>103</v>
      </c>
      <c r="O36" t="s">
        <v>263</v>
      </c>
      <c r="P36">
        <v>50</v>
      </c>
      <c r="Q36" t="s">
        <v>697</v>
      </c>
      <c r="S36" t="s">
        <v>697</v>
      </c>
      <c r="T36" t="s">
        <v>942</v>
      </c>
      <c r="U36">
        <v>41</v>
      </c>
      <c r="V36" t="s">
        <v>118</v>
      </c>
    </row>
    <row r="37" spans="1:22" x14ac:dyDescent="0.25">
      <c r="A37" t="s">
        <v>705</v>
      </c>
      <c r="B37" t="s">
        <v>43</v>
      </c>
      <c r="C37" s="58">
        <v>46241</v>
      </c>
      <c r="D37" t="s">
        <v>37</v>
      </c>
      <c r="E37" t="s">
        <v>697</v>
      </c>
      <c r="F37" t="s">
        <v>697</v>
      </c>
      <c r="G37" t="s">
        <v>706</v>
      </c>
      <c r="H37" t="s">
        <v>64</v>
      </c>
      <c r="I37" t="s">
        <v>85</v>
      </c>
      <c r="J37" t="s">
        <v>80</v>
      </c>
      <c r="K37" t="s">
        <v>85</v>
      </c>
      <c r="L37" t="s">
        <v>206</v>
      </c>
      <c r="M37" t="s">
        <v>1077</v>
      </c>
      <c r="N37" t="s">
        <v>72</v>
      </c>
      <c r="O37" t="s">
        <v>208</v>
      </c>
      <c r="P37">
        <v>100</v>
      </c>
      <c r="Q37" t="s">
        <v>697</v>
      </c>
      <c r="S37" t="s">
        <v>697</v>
      </c>
      <c r="T37" t="s">
        <v>938</v>
      </c>
      <c r="U37">
        <v>35</v>
      </c>
      <c r="V37" t="s">
        <v>579</v>
      </c>
    </row>
    <row r="38" spans="1:22" x14ac:dyDescent="0.25">
      <c r="A38" t="s">
        <v>737</v>
      </c>
      <c r="B38" t="s">
        <v>43</v>
      </c>
      <c r="C38" s="58">
        <v>46246</v>
      </c>
      <c r="D38" t="s">
        <v>37</v>
      </c>
      <c r="E38" t="s">
        <v>697</v>
      </c>
      <c r="F38" t="s">
        <v>697</v>
      </c>
      <c r="G38" t="s">
        <v>738</v>
      </c>
      <c r="H38" t="s">
        <v>39</v>
      </c>
      <c r="I38" t="s">
        <v>418</v>
      </c>
      <c r="J38" t="s">
        <v>14</v>
      </c>
      <c r="K38" t="s">
        <v>418</v>
      </c>
      <c r="L38" t="s">
        <v>955</v>
      </c>
      <c r="M38" t="s">
        <v>1029</v>
      </c>
      <c r="N38" t="s">
        <v>72</v>
      </c>
      <c r="O38" t="s">
        <v>625</v>
      </c>
      <c r="P38">
        <v>100</v>
      </c>
      <c r="Q38" t="s">
        <v>697</v>
      </c>
      <c r="S38" t="s">
        <v>697</v>
      </c>
      <c r="T38" t="s">
        <v>945</v>
      </c>
      <c r="U38">
        <v>15</v>
      </c>
      <c r="V38" t="s">
        <v>579</v>
      </c>
    </row>
    <row r="39" spans="1:22" x14ac:dyDescent="0.25">
      <c r="A39" t="s">
        <v>699</v>
      </c>
      <c r="B39" t="s">
        <v>54</v>
      </c>
      <c r="C39" s="58">
        <v>46247</v>
      </c>
      <c r="D39" t="s">
        <v>37</v>
      </c>
      <c r="E39" t="s">
        <v>697</v>
      </c>
      <c r="F39" t="s">
        <v>697</v>
      </c>
      <c r="G39" t="s">
        <v>700</v>
      </c>
      <c r="H39" t="s">
        <v>64</v>
      </c>
      <c r="I39" t="s">
        <v>166</v>
      </c>
      <c r="J39" t="s">
        <v>102</v>
      </c>
      <c r="K39" t="s">
        <v>166</v>
      </c>
      <c r="L39" t="s">
        <v>616</v>
      </c>
      <c r="M39" t="s">
        <v>1031</v>
      </c>
      <c r="N39" t="s">
        <v>49</v>
      </c>
      <c r="P39">
        <v>100</v>
      </c>
      <c r="Q39" t="s">
        <v>697</v>
      </c>
      <c r="S39" t="s">
        <v>697</v>
      </c>
      <c r="T39" t="s">
        <v>940</v>
      </c>
      <c r="U39">
        <v>0</v>
      </c>
      <c r="V39" t="s">
        <v>584</v>
      </c>
    </row>
    <row r="40" spans="1:22" x14ac:dyDescent="0.25">
      <c r="A40" t="s">
        <v>739</v>
      </c>
      <c r="B40" t="s">
        <v>43</v>
      </c>
      <c r="C40" s="58">
        <v>46247</v>
      </c>
      <c r="D40" t="s">
        <v>37</v>
      </c>
      <c r="E40" t="s">
        <v>697</v>
      </c>
      <c r="F40" t="s">
        <v>697</v>
      </c>
      <c r="G40" t="s">
        <v>740</v>
      </c>
      <c r="H40" t="s">
        <v>39</v>
      </c>
      <c r="I40" t="s">
        <v>213</v>
      </c>
      <c r="J40" t="s">
        <v>14</v>
      </c>
      <c r="K40" t="s">
        <v>213</v>
      </c>
      <c r="L40" t="s">
        <v>626</v>
      </c>
      <c r="N40" t="s">
        <v>72</v>
      </c>
      <c r="O40" t="s">
        <v>628</v>
      </c>
      <c r="P40">
        <v>100</v>
      </c>
      <c r="Q40" t="s">
        <v>697</v>
      </c>
      <c r="S40" t="s">
        <v>697</v>
      </c>
      <c r="T40" t="s">
        <v>946</v>
      </c>
      <c r="U40">
        <v>22</v>
      </c>
      <c r="V40" t="s">
        <v>579</v>
      </c>
    </row>
    <row r="41" spans="1:22" x14ac:dyDescent="0.25">
      <c r="A41" t="s">
        <v>749</v>
      </c>
      <c r="B41" t="s">
        <v>96</v>
      </c>
      <c r="C41" s="58">
        <v>46252</v>
      </c>
      <c r="D41" t="s">
        <v>156</v>
      </c>
      <c r="E41" t="s">
        <v>697</v>
      </c>
      <c r="F41" t="s">
        <v>697</v>
      </c>
      <c r="G41" t="s">
        <v>697</v>
      </c>
      <c r="H41" t="s">
        <v>64</v>
      </c>
      <c r="I41" t="s">
        <v>65</v>
      </c>
      <c r="J41" t="s">
        <v>68</v>
      </c>
      <c r="K41" t="s">
        <v>65</v>
      </c>
      <c r="L41" t="s">
        <v>655</v>
      </c>
      <c r="N41" t="s">
        <v>77</v>
      </c>
      <c r="O41" t="s">
        <v>657</v>
      </c>
      <c r="P41">
        <v>12.5</v>
      </c>
      <c r="Q41" t="s">
        <v>658</v>
      </c>
      <c r="S41" t="s">
        <v>659</v>
      </c>
      <c r="T41" t="s">
        <v>937</v>
      </c>
      <c r="U41">
        <v>33</v>
      </c>
      <c r="V41" t="s">
        <v>581</v>
      </c>
    </row>
    <row r="42" spans="1:22" x14ac:dyDescent="0.25">
      <c r="A42" t="s">
        <v>780</v>
      </c>
      <c r="B42" t="s">
        <v>43</v>
      </c>
      <c r="C42" s="58">
        <v>46254</v>
      </c>
      <c r="D42" t="s">
        <v>156</v>
      </c>
      <c r="E42" t="s">
        <v>1038</v>
      </c>
      <c r="F42" t="s">
        <v>697</v>
      </c>
      <c r="G42" t="s">
        <v>1039</v>
      </c>
      <c r="H42" t="s">
        <v>64</v>
      </c>
      <c r="I42" t="s">
        <v>107</v>
      </c>
      <c r="J42" t="s">
        <v>102</v>
      </c>
      <c r="K42" t="s">
        <v>107</v>
      </c>
      <c r="L42" t="s">
        <v>781</v>
      </c>
      <c r="N42" t="s">
        <v>49</v>
      </c>
      <c r="O42" t="s">
        <v>783</v>
      </c>
      <c r="P42">
        <v>50</v>
      </c>
      <c r="Q42" t="s">
        <v>777</v>
      </c>
      <c r="S42" t="s">
        <v>778</v>
      </c>
      <c r="T42" t="s">
        <v>938</v>
      </c>
      <c r="U42">
        <v>11</v>
      </c>
      <c r="V42" t="s">
        <v>584</v>
      </c>
    </row>
    <row r="43" spans="1:22" x14ac:dyDescent="0.25">
      <c r="A43" t="s">
        <v>752</v>
      </c>
      <c r="B43" t="s">
        <v>43</v>
      </c>
      <c r="C43" s="58">
        <v>46254</v>
      </c>
      <c r="D43" t="s">
        <v>37</v>
      </c>
      <c r="E43" t="s">
        <v>697</v>
      </c>
      <c r="F43" t="s">
        <v>697</v>
      </c>
      <c r="G43" t="s">
        <v>665</v>
      </c>
      <c r="H43" t="s">
        <v>39</v>
      </c>
      <c r="I43" t="s">
        <v>215</v>
      </c>
      <c r="J43" t="s">
        <v>116</v>
      </c>
      <c r="K43" t="s">
        <v>215</v>
      </c>
      <c r="L43" t="s">
        <v>666</v>
      </c>
      <c r="N43" t="s">
        <v>72</v>
      </c>
      <c r="O43" t="s">
        <v>668</v>
      </c>
      <c r="P43">
        <v>100</v>
      </c>
      <c r="Q43" t="s">
        <v>697</v>
      </c>
      <c r="S43" t="s">
        <v>697</v>
      </c>
      <c r="T43" t="s">
        <v>949</v>
      </c>
      <c r="U43">
        <v>27</v>
      </c>
      <c r="V43" t="s">
        <v>579</v>
      </c>
    </row>
    <row r="44" spans="1:22" x14ac:dyDescent="0.25">
      <c r="A44" t="s">
        <v>753</v>
      </c>
      <c r="B44" t="s">
        <v>43</v>
      </c>
      <c r="C44" s="58">
        <v>46255</v>
      </c>
      <c r="D44" t="s">
        <v>37</v>
      </c>
      <c r="E44" t="s">
        <v>697</v>
      </c>
      <c r="F44" t="s">
        <v>697</v>
      </c>
      <c r="G44" t="s">
        <v>755</v>
      </c>
      <c r="H44" t="s">
        <v>57</v>
      </c>
      <c r="I44" t="s">
        <v>183</v>
      </c>
      <c r="J44" t="s">
        <v>102</v>
      </c>
      <c r="K44" t="s">
        <v>183</v>
      </c>
      <c r="L44" t="s">
        <v>756</v>
      </c>
      <c r="M44" t="s">
        <v>958</v>
      </c>
      <c r="N44" t="s">
        <v>72</v>
      </c>
      <c r="O44" t="s">
        <v>758</v>
      </c>
      <c r="P44">
        <v>100</v>
      </c>
      <c r="Q44" t="s">
        <v>697</v>
      </c>
      <c r="S44" t="s">
        <v>697</v>
      </c>
      <c r="T44" t="s">
        <v>947</v>
      </c>
      <c r="U44">
        <v>11</v>
      </c>
      <c r="V44" t="s">
        <v>579</v>
      </c>
    </row>
    <row r="45" spans="1:22" x14ac:dyDescent="0.25">
      <c r="A45" t="s">
        <v>759</v>
      </c>
      <c r="B45" t="s">
        <v>43</v>
      </c>
      <c r="C45" s="58">
        <v>46258</v>
      </c>
      <c r="D45" t="s">
        <v>37</v>
      </c>
      <c r="E45" t="s">
        <v>697</v>
      </c>
      <c r="F45" t="s">
        <v>697</v>
      </c>
      <c r="G45" t="s">
        <v>761</v>
      </c>
      <c r="H45" t="s">
        <v>64</v>
      </c>
      <c r="I45" t="s">
        <v>107</v>
      </c>
      <c r="J45" t="s">
        <v>14</v>
      </c>
      <c r="K45" t="s">
        <v>107</v>
      </c>
      <c r="L45" t="s">
        <v>762</v>
      </c>
      <c r="M45" t="s">
        <v>1034</v>
      </c>
      <c r="N45" t="s">
        <v>72</v>
      </c>
      <c r="P45">
        <v>100</v>
      </c>
      <c r="Q45" t="s">
        <v>697</v>
      </c>
      <c r="S45" t="s">
        <v>697</v>
      </c>
      <c r="T45" t="s">
        <v>938</v>
      </c>
      <c r="U45">
        <v>22</v>
      </c>
      <c r="V45" t="s">
        <v>579</v>
      </c>
    </row>
    <row r="46" spans="1:22" x14ac:dyDescent="0.25">
      <c r="A46" t="s">
        <v>768</v>
      </c>
      <c r="B46" t="s">
        <v>43</v>
      </c>
      <c r="C46" s="58">
        <v>46258</v>
      </c>
      <c r="D46" t="s">
        <v>156</v>
      </c>
      <c r="E46" t="s">
        <v>697</v>
      </c>
      <c r="F46" t="s">
        <v>697</v>
      </c>
      <c r="G46" t="s">
        <v>770</v>
      </c>
      <c r="H46" t="s">
        <v>64</v>
      </c>
      <c r="I46" t="s">
        <v>107</v>
      </c>
      <c r="J46" t="s">
        <v>14</v>
      </c>
      <c r="K46" t="s">
        <v>107</v>
      </c>
      <c r="L46" t="s">
        <v>766</v>
      </c>
      <c r="N46" t="s">
        <v>1036</v>
      </c>
      <c r="P46">
        <v>100</v>
      </c>
      <c r="Q46" t="s">
        <v>697</v>
      </c>
      <c r="S46" t="s">
        <v>697</v>
      </c>
      <c r="T46" t="s">
        <v>938</v>
      </c>
      <c r="U46">
        <v>1</v>
      </c>
      <c r="V46" t="s">
        <v>580</v>
      </c>
    </row>
    <row r="47" spans="1:22" x14ac:dyDescent="0.25">
      <c r="A47" t="s">
        <v>771</v>
      </c>
      <c r="B47" t="s">
        <v>133</v>
      </c>
      <c r="C47" s="58">
        <v>46258</v>
      </c>
      <c r="D47" t="s">
        <v>156</v>
      </c>
      <c r="E47" t="s">
        <v>697</v>
      </c>
      <c r="F47" t="s">
        <v>697</v>
      </c>
      <c r="G47" t="s">
        <v>773</v>
      </c>
      <c r="H47" t="s">
        <v>57</v>
      </c>
      <c r="I47" t="s">
        <v>774</v>
      </c>
      <c r="J47" t="s">
        <v>14</v>
      </c>
      <c r="K47" t="s">
        <v>774</v>
      </c>
      <c r="L47" t="s">
        <v>775</v>
      </c>
      <c r="N47" t="s">
        <v>56</v>
      </c>
      <c r="P47">
        <v>100</v>
      </c>
      <c r="Q47" t="s">
        <v>697</v>
      </c>
      <c r="S47" t="s">
        <v>697</v>
      </c>
      <c r="T47" t="s">
        <v>941</v>
      </c>
      <c r="U47">
        <v>15</v>
      </c>
      <c r="V47" t="s">
        <v>584</v>
      </c>
    </row>
    <row r="48" spans="1:22" x14ac:dyDescent="0.25">
      <c r="A48" t="s">
        <v>771</v>
      </c>
      <c r="B48" t="s">
        <v>43</v>
      </c>
      <c r="C48" s="58">
        <v>46258</v>
      </c>
      <c r="D48" t="s">
        <v>37</v>
      </c>
      <c r="E48" t="s">
        <v>697</v>
      </c>
      <c r="F48" t="s">
        <v>697</v>
      </c>
      <c r="G48" t="s">
        <v>773</v>
      </c>
      <c r="H48" t="s">
        <v>57</v>
      </c>
      <c r="I48" t="s">
        <v>774</v>
      </c>
      <c r="J48" t="s">
        <v>14</v>
      </c>
      <c r="K48" t="s">
        <v>774</v>
      </c>
      <c r="L48" t="s">
        <v>775</v>
      </c>
      <c r="M48" t="s">
        <v>1037</v>
      </c>
      <c r="N48" t="s">
        <v>72</v>
      </c>
      <c r="P48">
        <v>100</v>
      </c>
      <c r="Q48" t="s">
        <v>697</v>
      </c>
      <c r="S48" t="s">
        <v>697</v>
      </c>
      <c r="T48" t="s">
        <v>941</v>
      </c>
      <c r="U48">
        <v>22</v>
      </c>
      <c r="V48" t="s">
        <v>579</v>
      </c>
    </row>
    <row r="49" spans="1:22" x14ac:dyDescent="0.25">
      <c r="A49" t="s">
        <v>798</v>
      </c>
      <c r="B49" t="s">
        <v>103</v>
      </c>
      <c r="C49" s="58">
        <v>46258</v>
      </c>
      <c r="D49" t="s">
        <v>37</v>
      </c>
      <c r="E49" t="s">
        <v>697</v>
      </c>
      <c r="F49" t="s">
        <v>697</v>
      </c>
      <c r="G49" t="s">
        <v>799</v>
      </c>
      <c r="H49" t="s">
        <v>57</v>
      </c>
      <c r="I49" t="s">
        <v>774</v>
      </c>
      <c r="J49" t="s">
        <v>14</v>
      </c>
      <c r="K49" t="s">
        <v>774</v>
      </c>
      <c r="L49" t="s">
        <v>800</v>
      </c>
      <c r="M49" t="s">
        <v>802</v>
      </c>
      <c r="N49" t="s">
        <v>49</v>
      </c>
      <c r="P49">
        <v>100</v>
      </c>
      <c r="Q49" t="s">
        <v>697</v>
      </c>
      <c r="S49" t="s">
        <v>697</v>
      </c>
      <c r="T49" t="s">
        <v>941</v>
      </c>
      <c r="U49">
        <v>4</v>
      </c>
      <c r="V49" t="s">
        <v>584</v>
      </c>
    </row>
    <row r="50" spans="1:22" x14ac:dyDescent="0.25">
      <c r="A50" t="s">
        <v>746</v>
      </c>
      <c r="B50" t="s">
        <v>43</v>
      </c>
      <c r="C50" s="58">
        <v>46265</v>
      </c>
      <c r="D50" t="s">
        <v>37</v>
      </c>
      <c r="E50" t="s">
        <v>697</v>
      </c>
      <c r="F50" t="s">
        <v>697</v>
      </c>
      <c r="G50" t="s">
        <v>747</v>
      </c>
      <c r="H50" t="s">
        <v>39</v>
      </c>
      <c r="I50" t="s">
        <v>273</v>
      </c>
      <c r="J50" t="s">
        <v>14</v>
      </c>
      <c r="K50" t="s">
        <v>273</v>
      </c>
      <c r="L50" t="s">
        <v>634</v>
      </c>
      <c r="M50" t="s">
        <v>1032</v>
      </c>
      <c r="N50" t="s">
        <v>72</v>
      </c>
      <c r="O50" t="s">
        <v>635</v>
      </c>
      <c r="P50">
        <v>100</v>
      </c>
      <c r="Q50" t="s">
        <v>697</v>
      </c>
      <c r="S50" t="s">
        <v>697</v>
      </c>
      <c r="T50" t="s">
        <v>945</v>
      </c>
      <c r="U50">
        <v>28</v>
      </c>
      <c r="V50" t="s">
        <v>579</v>
      </c>
    </row>
    <row r="51" spans="1:22" x14ac:dyDescent="0.25">
      <c r="A51" t="s">
        <v>989</v>
      </c>
      <c r="B51" t="s">
        <v>43</v>
      </c>
      <c r="C51" s="58">
        <v>46267</v>
      </c>
      <c r="D51" t="s">
        <v>156</v>
      </c>
      <c r="E51" t="s">
        <v>990</v>
      </c>
      <c r="F51" t="s">
        <v>697</v>
      </c>
      <c r="G51" t="s">
        <v>991</v>
      </c>
      <c r="H51" t="s">
        <v>64</v>
      </c>
      <c r="I51" t="s">
        <v>992</v>
      </c>
      <c r="J51" t="s">
        <v>80</v>
      </c>
      <c r="K51" t="s">
        <v>992</v>
      </c>
      <c r="L51" t="s">
        <v>993</v>
      </c>
      <c r="N51" t="s">
        <v>72</v>
      </c>
      <c r="O51" t="s">
        <v>995</v>
      </c>
      <c r="P51">
        <v>50</v>
      </c>
      <c r="Q51" t="s">
        <v>654</v>
      </c>
      <c r="S51" t="s">
        <v>653</v>
      </c>
      <c r="T51" t="s">
        <v>938</v>
      </c>
      <c r="U51">
        <v>4</v>
      </c>
      <c r="V51" t="s">
        <v>579</v>
      </c>
    </row>
    <row r="52" spans="1:22" x14ac:dyDescent="0.25">
      <c r="A52" t="s">
        <v>996</v>
      </c>
      <c r="B52" t="s">
        <v>34</v>
      </c>
      <c r="C52" s="58">
        <v>46268</v>
      </c>
      <c r="D52" t="s">
        <v>156</v>
      </c>
      <c r="E52" t="s">
        <v>997</v>
      </c>
      <c r="F52" t="s">
        <v>998</v>
      </c>
      <c r="G52" t="s">
        <v>697</v>
      </c>
      <c r="H52" t="s">
        <v>64</v>
      </c>
      <c r="I52" t="s">
        <v>110</v>
      </c>
      <c r="J52" t="s">
        <v>14</v>
      </c>
      <c r="K52" t="s">
        <v>110</v>
      </c>
      <c r="L52" t="s">
        <v>999</v>
      </c>
      <c r="N52" t="s">
        <v>108</v>
      </c>
      <c r="O52" t="s">
        <v>1001</v>
      </c>
      <c r="P52">
        <v>50</v>
      </c>
      <c r="Q52" t="s">
        <v>669</v>
      </c>
      <c r="S52" t="s">
        <v>688</v>
      </c>
      <c r="T52" t="s">
        <v>944</v>
      </c>
      <c r="U52">
        <v>17</v>
      </c>
      <c r="V52" t="s">
        <v>582</v>
      </c>
    </row>
    <row r="53" spans="1:22" x14ac:dyDescent="0.25">
      <c r="A53" t="s">
        <v>1002</v>
      </c>
      <c r="B53" t="s">
        <v>43</v>
      </c>
      <c r="C53" s="58">
        <v>46268</v>
      </c>
      <c r="D53" t="s">
        <v>37</v>
      </c>
      <c r="E53" t="s">
        <v>697</v>
      </c>
      <c r="F53" t="s">
        <v>697</v>
      </c>
      <c r="G53" t="s">
        <v>1003</v>
      </c>
      <c r="H53" t="s">
        <v>39</v>
      </c>
      <c r="I53" t="s">
        <v>1004</v>
      </c>
      <c r="J53" t="s">
        <v>14</v>
      </c>
      <c r="K53" t="s">
        <v>1004</v>
      </c>
      <c r="L53" t="s">
        <v>1005</v>
      </c>
      <c r="N53" t="s">
        <v>72</v>
      </c>
      <c r="O53" t="s">
        <v>1007</v>
      </c>
      <c r="P53">
        <v>100</v>
      </c>
      <c r="Q53" t="s">
        <v>697</v>
      </c>
      <c r="S53" t="s">
        <v>697</v>
      </c>
      <c r="T53" t="s">
        <v>945</v>
      </c>
      <c r="U53">
        <v>11</v>
      </c>
      <c r="V53" t="s">
        <v>579</v>
      </c>
    </row>
    <row r="54" spans="1:22" x14ac:dyDescent="0.25">
      <c r="A54" t="s">
        <v>1051</v>
      </c>
      <c r="B54" t="s">
        <v>43</v>
      </c>
      <c r="C54" s="58">
        <v>46274</v>
      </c>
      <c r="D54" t="s">
        <v>156</v>
      </c>
      <c r="E54" t="s">
        <v>1052</v>
      </c>
      <c r="F54" t="s">
        <v>697</v>
      </c>
      <c r="G54" t="s">
        <v>1053</v>
      </c>
      <c r="H54" t="s">
        <v>39</v>
      </c>
      <c r="I54" t="s">
        <v>1054</v>
      </c>
      <c r="J54" t="s">
        <v>80</v>
      </c>
      <c r="K54" t="s">
        <v>1054</v>
      </c>
      <c r="L54" t="s">
        <v>1055</v>
      </c>
      <c r="N54" t="s">
        <v>72</v>
      </c>
      <c r="O54" t="s">
        <v>1057</v>
      </c>
      <c r="P54">
        <v>50</v>
      </c>
      <c r="Q54" t="s">
        <v>654</v>
      </c>
      <c r="S54" t="s">
        <v>653</v>
      </c>
      <c r="T54" t="s">
        <v>946</v>
      </c>
      <c r="U54">
        <v>11</v>
      </c>
      <c r="V54" t="s">
        <v>579</v>
      </c>
    </row>
    <row r="55" spans="1:22" x14ac:dyDescent="0.25">
      <c r="A55" t="s">
        <v>1058</v>
      </c>
      <c r="B55" t="s">
        <v>43</v>
      </c>
      <c r="C55" s="58">
        <v>46280</v>
      </c>
      <c r="D55" t="s">
        <v>156</v>
      </c>
      <c r="E55" t="s">
        <v>1059</v>
      </c>
      <c r="F55" t="s">
        <v>697</v>
      </c>
      <c r="G55" t="s">
        <v>1060</v>
      </c>
      <c r="H55" t="s">
        <v>39</v>
      </c>
      <c r="I55" t="s">
        <v>45</v>
      </c>
      <c r="J55" t="s">
        <v>80</v>
      </c>
      <c r="K55" t="s">
        <v>45</v>
      </c>
      <c r="L55" t="s">
        <v>1061</v>
      </c>
      <c r="N55" t="s">
        <v>72</v>
      </c>
      <c r="O55" t="s">
        <v>1057</v>
      </c>
      <c r="P55">
        <v>50</v>
      </c>
      <c r="Q55" t="s">
        <v>654</v>
      </c>
      <c r="S55" t="s">
        <v>653</v>
      </c>
      <c r="T55" t="s">
        <v>948</v>
      </c>
      <c r="U55">
        <v>7</v>
      </c>
      <c r="V55" t="s">
        <v>579</v>
      </c>
    </row>
    <row r="56" spans="1:22" x14ac:dyDescent="0.25">
      <c r="A56" t="s">
        <v>1063</v>
      </c>
      <c r="B56" t="s">
        <v>54</v>
      </c>
      <c r="C56" s="58">
        <v>46281</v>
      </c>
      <c r="D56" t="s">
        <v>156</v>
      </c>
      <c r="E56" t="s">
        <v>1064</v>
      </c>
      <c r="F56" t="s">
        <v>1065</v>
      </c>
      <c r="G56" t="s">
        <v>697</v>
      </c>
      <c r="H56" t="s">
        <v>64</v>
      </c>
      <c r="I56" t="s">
        <v>65</v>
      </c>
      <c r="J56" t="s">
        <v>116</v>
      </c>
      <c r="K56" t="s">
        <v>65</v>
      </c>
      <c r="L56" t="s">
        <v>1066</v>
      </c>
      <c r="N56" t="s">
        <v>1068</v>
      </c>
      <c r="O56" t="s">
        <v>1069</v>
      </c>
      <c r="P56">
        <v>50</v>
      </c>
      <c r="Q56" t="s">
        <v>1070</v>
      </c>
      <c r="S56" t="s">
        <v>1071</v>
      </c>
      <c r="T56" t="s">
        <v>937</v>
      </c>
      <c r="U56">
        <v>5</v>
      </c>
      <c r="V56" t="s">
        <v>1081</v>
      </c>
    </row>
    <row r="57" spans="1:22" x14ac:dyDescent="0.25">
      <c r="A57" t="s">
        <v>960</v>
      </c>
      <c r="B57" t="s">
        <v>43</v>
      </c>
      <c r="C57" s="58">
        <v>46295</v>
      </c>
      <c r="D57" t="s">
        <v>37</v>
      </c>
      <c r="E57" t="s">
        <v>697</v>
      </c>
      <c r="F57" t="s">
        <v>697</v>
      </c>
      <c r="G57" t="s">
        <v>961</v>
      </c>
      <c r="H57" t="s">
        <v>39</v>
      </c>
      <c r="I57" t="s">
        <v>962</v>
      </c>
      <c r="J57" t="s">
        <v>14</v>
      </c>
      <c r="K57" t="s">
        <v>962</v>
      </c>
      <c r="L57" t="s">
        <v>963</v>
      </c>
      <c r="M57" t="s">
        <v>1043</v>
      </c>
      <c r="N57" t="s">
        <v>72</v>
      </c>
      <c r="O57" t="s">
        <v>965</v>
      </c>
      <c r="P57">
        <v>100</v>
      </c>
      <c r="Q57" t="s">
        <v>697</v>
      </c>
      <c r="S57" t="s">
        <v>697</v>
      </c>
      <c r="T57" t="s">
        <v>948</v>
      </c>
      <c r="U57">
        <v>15</v>
      </c>
      <c r="V57" t="s">
        <v>579</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376A-7996-40E6-BEA0-25213AB3C0CB}">
  <dimension ref="A1:AW20"/>
  <sheetViews>
    <sheetView zoomScale="70" zoomScaleNormal="70" workbookViewId="0">
      <selection activeCell="H25" sqref="H25"/>
    </sheetView>
  </sheetViews>
  <sheetFormatPr defaultRowHeight="15" x14ac:dyDescent="0.25"/>
  <cols>
    <col min="1" max="1" width="9.42578125" style="9" bestFit="1" customWidth="1"/>
    <col min="2" max="2" width="18" style="9" bestFit="1" customWidth="1"/>
    <col min="3" max="3" width="9.28515625" style="9" bestFit="1" customWidth="1"/>
    <col min="4" max="4" width="34.85546875" style="9" bestFit="1" customWidth="1"/>
    <col min="5" max="5" width="39.28515625" style="9" bestFit="1" customWidth="1"/>
    <col min="6" max="7" width="10.28515625" style="9" customWidth="1"/>
    <col min="8" max="8" width="27.42578125" style="9" bestFit="1" customWidth="1"/>
    <col min="9" max="9" width="11.42578125" style="9" bestFit="1" customWidth="1"/>
    <col min="10" max="10" width="13.7109375" style="9" bestFit="1" customWidth="1"/>
    <col min="11" max="11" width="20.5703125" style="9" bestFit="1" customWidth="1"/>
    <col min="12" max="12" width="26.140625" style="9" bestFit="1" customWidth="1"/>
    <col min="13" max="13" width="20" style="9" bestFit="1" customWidth="1"/>
    <col min="14" max="14" width="14.5703125" style="9" bestFit="1" customWidth="1"/>
    <col min="15" max="15" width="32.42578125" style="9" customWidth="1"/>
    <col min="18" max="18" width="18.5703125" style="9" bestFit="1" customWidth="1"/>
    <col min="19" max="20" width="9.140625" style="9"/>
    <col min="21" max="21" width="21.5703125" style="9" bestFit="1" customWidth="1"/>
    <col min="22" max="22" width="18" style="9" bestFit="1" customWidth="1"/>
    <col min="23" max="23" width="17.7109375" style="9" customWidth="1"/>
    <col min="24" max="24" width="18.28515625" style="9" bestFit="1" customWidth="1"/>
    <col min="25" max="25" width="177.85546875" style="9" bestFit="1" customWidth="1"/>
    <col min="26" max="26" width="18" style="9" bestFit="1" customWidth="1"/>
    <col min="27" max="27" width="48.7109375" style="9" bestFit="1" customWidth="1"/>
    <col min="28" max="28" width="21.5703125" style="9" bestFit="1" customWidth="1"/>
    <col min="29" max="29" width="17.5703125" style="9" bestFit="1" customWidth="1"/>
    <col min="30" max="30" width="18" style="9" bestFit="1" customWidth="1"/>
    <col min="31" max="31" width="36.140625" style="9" bestFit="1" customWidth="1"/>
    <col min="32" max="32" width="17" style="9" bestFit="1" customWidth="1"/>
    <col min="33" max="33" width="118.28515625" style="9" bestFit="1" customWidth="1"/>
    <col min="34" max="34" width="34.7109375" style="9" bestFit="1" customWidth="1"/>
    <col min="35" max="35" width="9.42578125" style="9" bestFit="1" customWidth="1"/>
    <col min="36" max="36" width="19.7109375" style="9" bestFit="1" customWidth="1"/>
    <col min="37" max="37" width="13.28515625" style="9" bestFit="1" customWidth="1"/>
    <col min="38" max="38" width="36.28515625" style="9" bestFit="1" customWidth="1"/>
    <col min="39" max="39" width="10.5703125" style="9" bestFit="1" customWidth="1"/>
    <col min="40" max="40" width="36.28515625" style="9" bestFit="1" customWidth="1"/>
    <col min="41" max="41" width="14.140625" style="9" bestFit="1" customWidth="1"/>
    <col min="42" max="42" width="16.140625" style="9" bestFit="1" customWidth="1"/>
    <col min="43" max="43" width="13.42578125" style="9" bestFit="1" customWidth="1"/>
    <col min="44" max="44" width="41.7109375" style="9" bestFit="1" customWidth="1"/>
    <col min="45" max="45" width="11.140625" style="9" bestFit="1" customWidth="1"/>
    <col min="46" max="46" width="30.28515625" style="9" bestFit="1" customWidth="1"/>
    <col min="47" max="47" width="24.28515625" style="9" bestFit="1" customWidth="1"/>
    <col min="48" max="48" width="22.140625" style="9" bestFit="1" customWidth="1"/>
    <col min="50" max="50" width="13.85546875" style="9" bestFit="1" customWidth="1"/>
    <col min="51" max="51" width="9.28515625" style="9" bestFit="1" customWidth="1"/>
    <col min="52" max="52" width="9.140625" style="9"/>
    <col min="53" max="53" width="9.28515625" style="9" bestFit="1" customWidth="1"/>
    <col min="54" max="54" width="26.7109375" style="9" bestFit="1" customWidth="1"/>
    <col min="55" max="16384" width="9.140625" style="9"/>
  </cols>
  <sheetData>
    <row r="1" spans="1:49" x14ac:dyDescent="0.25">
      <c r="A1" s="63" t="s">
        <v>953</v>
      </c>
      <c r="N1" s="63"/>
      <c r="P1" s="9"/>
      <c r="Q1" s="9"/>
      <c r="AW1" s="9"/>
    </row>
    <row r="2" spans="1:49" x14ac:dyDescent="0.25">
      <c r="P2" s="9"/>
      <c r="Q2" s="9"/>
      <c r="AW2" s="9"/>
    </row>
    <row r="3" spans="1:49" customFormat="1" x14ac:dyDescent="0.25">
      <c r="A3" t="s">
        <v>0</v>
      </c>
      <c r="B3" t="s">
        <v>2</v>
      </c>
      <c r="C3" t="s">
        <v>13</v>
      </c>
      <c r="D3" t="s">
        <v>578</v>
      </c>
      <c r="E3" t="s">
        <v>12</v>
      </c>
      <c r="F3" t="s">
        <v>3</v>
      </c>
      <c r="G3" t="s">
        <v>954</v>
      </c>
      <c r="H3" t="s">
        <v>4</v>
      </c>
      <c r="I3" t="s">
        <v>5</v>
      </c>
      <c r="J3" t="s">
        <v>6</v>
      </c>
      <c r="K3" t="s">
        <v>7</v>
      </c>
      <c r="L3" t="s">
        <v>8</v>
      </c>
      <c r="M3" t="s">
        <v>9</v>
      </c>
      <c r="N3" t="s">
        <v>10</v>
      </c>
      <c r="O3" t="s">
        <v>11</v>
      </c>
      <c r="P3" t="s">
        <v>14</v>
      </c>
      <c r="Q3" t="s">
        <v>15</v>
      </c>
      <c r="R3" t="s">
        <v>16</v>
      </c>
      <c r="S3" t="s">
        <v>17</v>
      </c>
      <c r="T3" t="s">
        <v>18</v>
      </c>
      <c r="U3" t="s">
        <v>19</v>
      </c>
      <c r="V3" t="s">
        <v>20</v>
      </c>
      <c r="W3" t="s">
        <v>21</v>
      </c>
      <c r="X3" t="s">
        <v>22</v>
      </c>
      <c r="Y3" t="s">
        <v>23</v>
      </c>
      <c r="Z3" t="s">
        <v>24</v>
      </c>
      <c r="AA3" t="s">
        <v>25</v>
      </c>
      <c r="AB3" t="s">
        <v>26</v>
      </c>
      <c r="AC3" t="s">
        <v>27</v>
      </c>
      <c r="AD3" t="s">
        <v>28</v>
      </c>
      <c r="AE3" t="s">
        <v>29</v>
      </c>
      <c r="AF3" t="s">
        <v>30</v>
      </c>
      <c r="AG3" t="s">
        <v>31</v>
      </c>
      <c r="AH3" t="s">
        <v>32</v>
      </c>
      <c r="AI3" t="s">
        <v>604</v>
      </c>
      <c r="AJ3" t="s">
        <v>605</v>
      </c>
      <c r="AK3" t="s">
        <v>606</v>
      </c>
      <c r="AL3" t="s">
        <v>647</v>
      </c>
      <c r="AM3" t="s">
        <v>648</v>
      </c>
      <c r="AN3" t="s">
        <v>649</v>
      </c>
      <c r="AO3" t="s">
        <v>935</v>
      </c>
      <c r="AP3" t="s">
        <v>586</v>
      </c>
      <c r="AQ3" t="s">
        <v>587</v>
      </c>
      <c r="AR3" t="s">
        <v>533</v>
      </c>
      <c r="AS3" t="s">
        <v>536</v>
      </c>
      <c r="AT3" t="s">
        <v>576</v>
      </c>
      <c r="AU3" t="s">
        <v>577</v>
      </c>
    </row>
    <row r="4" spans="1:49" customFormat="1" x14ac:dyDescent="0.25">
      <c r="A4">
        <v>364</v>
      </c>
      <c r="B4" t="s">
        <v>96</v>
      </c>
      <c r="C4" t="s">
        <v>80</v>
      </c>
      <c r="D4" t="s">
        <v>581</v>
      </c>
      <c r="E4" t="s">
        <v>65</v>
      </c>
      <c r="F4" t="s">
        <v>35</v>
      </c>
      <c r="G4">
        <f>VLOOKUP(Tabela4[[#This Row],[ID]],'Prioridades s-1'!A:A,1,0)</f>
        <v>364</v>
      </c>
      <c r="H4" s="36">
        <v>46168</v>
      </c>
      <c r="I4" t="s">
        <v>114</v>
      </c>
      <c r="J4" t="s">
        <v>37</v>
      </c>
      <c r="K4" t="s">
        <v>37</v>
      </c>
      <c r="L4" t="s">
        <v>697</v>
      </c>
      <c r="M4" t="s">
        <v>697</v>
      </c>
      <c r="N4" t="s">
        <v>697</v>
      </c>
      <c r="O4" t="s">
        <v>64</v>
      </c>
      <c r="P4" t="s">
        <v>65</v>
      </c>
      <c r="Q4" t="s">
        <v>283</v>
      </c>
      <c r="R4" s="36">
        <v>46168</v>
      </c>
      <c r="S4" t="s">
        <v>284</v>
      </c>
      <c r="T4" s="36">
        <v>46262</v>
      </c>
      <c r="V4" s="36">
        <v>46188</v>
      </c>
      <c r="Y4" t="s">
        <v>721</v>
      </c>
      <c r="Z4" t="s">
        <v>70</v>
      </c>
      <c r="AA4" t="s">
        <v>219</v>
      </c>
      <c r="AB4" t="s">
        <v>697</v>
      </c>
      <c r="AC4" t="s">
        <v>697</v>
      </c>
      <c r="AD4" t="s">
        <v>53</v>
      </c>
      <c r="AE4" s="36">
        <v>46268</v>
      </c>
      <c r="AF4" t="s">
        <v>93</v>
      </c>
      <c r="AG4" s="36">
        <v>46262</v>
      </c>
      <c r="AH4" t="s">
        <v>71</v>
      </c>
      <c r="AI4">
        <v>100</v>
      </c>
      <c r="AJ4">
        <v>100</v>
      </c>
      <c r="AK4">
        <v>100</v>
      </c>
      <c r="AL4" t="s">
        <v>697</v>
      </c>
      <c r="AN4" t="s">
        <v>697</v>
      </c>
      <c r="AO4" t="s">
        <v>937</v>
      </c>
      <c r="AP4">
        <v>118</v>
      </c>
      <c r="AQ4" t="s">
        <v>591</v>
      </c>
      <c r="AR4" t="s">
        <v>535</v>
      </c>
      <c r="AS4" t="s">
        <v>537</v>
      </c>
      <c r="AT4" t="e">
        <v>#VALUE!</v>
      </c>
      <c r="AU4">
        <v>94</v>
      </c>
    </row>
    <row r="5" spans="1:49" customFormat="1" x14ac:dyDescent="0.25">
      <c r="A5">
        <v>566</v>
      </c>
      <c r="B5" t="s">
        <v>43</v>
      </c>
      <c r="C5" t="s">
        <v>14</v>
      </c>
      <c r="D5" t="s">
        <v>579</v>
      </c>
      <c r="E5" t="s">
        <v>85</v>
      </c>
      <c r="F5" t="s">
        <v>35</v>
      </c>
      <c r="G5">
        <f>VLOOKUP(Tabela4[[#This Row],[ID]],'Prioridades s-1'!A:A,1,0)</f>
        <v>566</v>
      </c>
      <c r="H5" s="36">
        <v>46184</v>
      </c>
      <c r="I5" t="s">
        <v>88</v>
      </c>
      <c r="J5" t="s">
        <v>111</v>
      </c>
      <c r="K5" t="s">
        <v>37</v>
      </c>
      <c r="L5" t="s">
        <v>697</v>
      </c>
      <c r="M5" t="s">
        <v>697</v>
      </c>
      <c r="N5" t="s">
        <v>874</v>
      </c>
      <c r="O5" t="s">
        <v>64</v>
      </c>
      <c r="P5" t="s">
        <v>85</v>
      </c>
      <c r="Q5" t="s">
        <v>1022</v>
      </c>
      <c r="R5" s="36">
        <v>46189</v>
      </c>
      <c r="S5" t="s">
        <v>691</v>
      </c>
      <c r="T5" s="36">
        <v>46274</v>
      </c>
      <c r="V5" s="36">
        <v>46203</v>
      </c>
      <c r="W5" s="36">
        <v>46280</v>
      </c>
      <c r="Y5" t="s">
        <v>72</v>
      </c>
      <c r="Z5" t="s">
        <v>94</v>
      </c>
      <c r="AA5" t="s">
        <v>302</v>
      </c>
      <c r="AB5" t="s">
        <v>88</v>
      </c>
      <c r="AC5" t="s">
        <v>212</v>
      </c>
      <c r="AD5" t="s">
        <v>53</v>
      </c>
      <c r="AE5" s="36">
        <v>46274</v>
      </c>
      <c r="AF5" t="s">
        <v>72</v>
      </c>
      <c r="AG5" s="36">
        <v>46274</v>
      </c>
      <c r="AH5" t="s">
        <v>72</v>
      </c>
      <c r="AI5">
        <v>100</v>
      </c>
      <c r="AJ5">
        <v>100</v>
      </c>
      <c r="AK5">
        <v>100</v>
      </c>
      <c r="AL5" t="s">
        <v>697</v>
      </c>
      <c r="AN5" t="s">
        <v>697</v>
      </c>
      <c r="AO5" t="s">
        <v>938</v>
      </c>
      <c r="AP5">
        <v>102</v>
      </c>
      <c r="AQ5" t="s">
        <v>591</v>
      </c>
      <c r="AR5" t="s">
        <v>535</v>
      </c>
      <c r="AS5" t="s">
        <v>537</v>
      </c>
      <c r="AT5" t="e">
        <v>#VALUE!</v>
      </c>
      <c r="AU5">
        <v>85</v>
      </c>
    </row>
    <row r="6" spans="1:49" customFormat="1" x14ac:dyDescent="0.25">
      <c r="A6" s="64">
        <v>938</v>
      </c>
      <c r="B6" s="64" t="s">
        <v>43</v>
      </c>
      <c r="C6" s="64" t="s">
        <v>14</v>
      </c>
      <c r="D6" s="64" t="s">
        <v>579</v>
      </c>
      <c r="E6" s="64" t="s">
        <v>76</v>
      </c>
      <c r="F6" s="64" t="s">
        <v>35</v>
      </c>
      <c r="G6" s="64">
        <f>VLOOKUP(Tabela4[[#This Row],[ID]],'Prioridades s-1'!A:A,1,0)</f>
        <v>938</v>
      </c>
      <c r="H6" s="65">
        <v>46227</v>
      </c>
      <c r="I6" s="64" t="s">
        <v>88</v>
      </c>
      <c r="J6" s="64" t="s">
        <v>37</v>
      </c>
      <c r="K6" s="64" t="s">
        <v>37</v>
      </c>
      <c r="L6" s="64" t="s">
        <v>697</v>
      </c>
      <c r="M6" s="64" t="s">
        <v>697</v>
      </c>
      <c r="N6" s="64" t="s">
        <v>704</v>
      </c>
      <c r="O6" s="64" t="s">
        <v>39</v>
      </c>
      <c r="P6" s="64" t="s">
        <v>76</v>
      </c>
      <c r="Q6" s="64" t="s">
        <v>188</v>
      </c>
      <c r="R6" s="65">
        <v>46233</v>
      </c>
      <c r="S6" s="64" t="s">
        <v>188</v>
      </c>
      <c r="T6" s="65">
        <v>46269</v>
      </c>
      <c r="U6" s="64" t="s">
        <v>967</v>
      </c>
      <c r="V6" s="65">
        <v>46295</v>
      </c>
      <c r="W6" s="65">
        <v>46294</v>
      </c>
      <c r="X6" s="64"/>
      <c r="Y6" s="64" t="s">
        <v>72</v>
      </c>
      <c r="Z6" s="64" t="s">
        <v>94</v>
      </c>
      <c r="AA6" s="64"/>
      <c r="AB6" s="64" t="s">
        <v>106</v>
      </c>
      <c r="AC6" s="64" t="s">
        <v>42</v>
      </c>
      <c r="AD6" s="64" t="s">
        <v>53</v>
      </c>
      <c r="AE6" s="65">
        <v>46269</v>
      </c>
      <c r="AF6" s="64" t="s">
        <v>72</v>
      </c>
      <c r="AG6" s="65">
        <v>46269</v>
      </c>
      <c r="AH6" s="64" t="s">
        <v>72</v>
      </c>
      <c r="AI6" s="64">
        <v>100</v>
      </c>
      <c r="AJ6" s="64">
        <v>100</v>
      </c>
      <c r="AK6" s="64">
        <v>100</v>
      </c>
      <c r="AL6" s="64" t="s">
        <v>697</v>
      </c>
      <c r="AM6" s="64"/>
      <c r="AN6" s="64" t="s">
        <v>697</v>
      </c>
      <c r="AO6" s="64" t="s">
        <v>943</v>
      </c>
      <c r="AP6" s="64">
        <v>59</v>
      </c>
      <c r="AQ6" s="64" t="s">
        <v>591</v>
      </c>
      <c r="AR6" s="64" t="s">
        <v>534</v>
      </c>
      <c r="AS6" s="64" t="s">
        <v>536</v>
      </c>
      <c r="AT6" s="64" t="s">
        <v>42</v>
      </c>
      <c r="AU6" s="64">
        <v>36</v>
      </c>
    </row>
    <row r="7" spans="1:49" customFormat="1" x14ac:dyDescent="0.25">
      <c r="A7">
        <v>980</v>
      </c>
      <c r="B7" t="s">
        <v>43</v>
      </c>
      <c r="C7" t="s">
        <v>80</v>
      </c>
      <c r="D7" t="s">
        <v>579</v>
      </c>
      <c r="E7" t="s">
        <v>85</v>
      </c>
      <c r="F7" t="s">
        <v>35</v>
      </c>
      <c r="G7">
        <f>VLOOKUP(Tabela4[[#This Row],[ID]],'Prioridades s-1'!A:A,1,0)</f>
        <v>980</v>
      </c>
      <c r="H7" s="36">
        <v>46241</v>
      </c>
      <c r="I7" t="s">
        <v>44</v>
      </c>
      <c r="J7" t="s">
        <v>37</v>
      </c>
      <c r="K7" t="s">
        <v>37</v>
      </c>
      <c r="L7" t="s">
        <v>697</v>
      </c>
      <c r="M7" t="s">
        <v>697</v>
      </c>
      <c r="N7" t="s">
        <v>706</v>
      </c>
      <c r="O7" t="s">
        <v>64</v>
      </c>
      <c r="P7" t="s">
        <v>85</v>
      </c>
      <c r="Q7" t="s">
        <v>206</v>
      </c>
      <c r="R7" s="36">
        <v>46245</v>
      </c>
      <c r="S7" t="s">
        <v>207</v>
      </c>
      <c r="T7" s="36">
        <v>46280</v>
      </c>
      <c r="U7" t="s">
        <v>1077</v>
      </c>
      <c r="V7" s="36">
        <v>46255</v>
      </c>
      <c r="W7" s="36">
        <v>46292</v>
      </c>
      <c r="Y7" t="s">
        <v>72</v>
      </c>
      <c r="Z7" t="s">
        <v>94</v>
      </c>
      <c r="AA7" t="s">
        <v>208</v>
      </c>
      <c r="AB7" t="s">
        <v>44</v>
      </c>
      <c r="AC7" t="s">
        <v>42</v>
      </c>
      <c r="AD7" t="s">
        <v>53</v>
      </c>
      <c r="AE7" s="36">
        <v>46280</v>
      </c>
      <c r="AF7" t="s">
        <v>72</v>
      </c>
      <c r="AG7" s="36">
        <v>46280</v>
      </c>
      <c r="AH7" t="s">
        <v>72</v>
      </c>
      <c r="AI7">
        <v>100</v>
      </c>
      <c r="AJ7">
        <v>100</v>
      </c>
      <c r="AK7">
        <v>100</v>
      </c>
      <c r="AL7" t="s">
        <v>697</v>
      </c>
      <c r="AN7" t="s">
        <v>697</v>
      </c>
      <c r="AO7" t="s">
        <v>938</v>
      </c>
      <c r="AP7">
        <v>45</v>
      </c>
      <c r="AQ7" t="s">
        <v>591</v>
      </c>
      <c r="AR7" t="s">
        <v>535</v>
      </c>
      <c r="AS7" t="s">
        <v>537</v>
      </c>
      <c r="AT7" t="e">
        <v>#VALUE!</v>
      </c>
      <c r="AU7">
        <v>35</v>
      </c>
    </row>
    <row r="8" spans="1:49" customFormat="1" x14ac:dyDescent="0.25">
      <c r="A8">
        <v>1008</v>
      </c>
      <c r="B8" t="s">
        <v>43</v>
      </c>
      <c r="C8" t="s">
        <v>14</v>
      </c>
      <c r="D8" t="s">
        <v>579</v>
      </c>
      <c r="E8" t="s">
        <v>418</v>
      </c>
      <c r="F8" t="s">
        <v>35</v>
      </c>
      <c r="G8">
        <f>VLOOKUP(Tabela4[[#This Row],[ID]],'Prioridades s-1'!A:A,1,0)</f>
        <v>1008</v>
      </c>
      <c r="H8" s="36">
        <v>46246</v>
      </c>
      <c r="I8" t="s">
        <v>88</v>
      </c>
      <c r="J8" t="s">
        <v>37</v>
      </c>
      <c r="K8" t="s">
        <v>37</v>
      </c>
      <c r="L8" t="s">
        <v>697</v>
      </c>
      <c r="M8" t="s">
        <v>697</v>
      </c>
      <c r="N8" t="s">
        <v>738</v>
      </c>
      <c r="O8" t="s">
        <v>39</v>
      </c>
      <c r="P8" t="s">
        <v>418</v>
      </c>
      <c r="Q8" t="s">
        <v>955</v>
      </c>
      <c r="R8" s="36">
        <v>46265</v>
      </c>
      <c r="S8" t="s">
        <v>956</v>
      </c>
      <c r="T8" s="36">
        <v>46280</v>
      </c>
      <c r="U8" t="s">
        <v>1029</v>
      </c>
      <c r="V8" s="36">
        <v>46273</v>
      </c>
      <c r="W8" s="36">
        <v>46283</v>
      </c>
      <c r="Y8" t="s">
        <v>72</v>
      </c>
      <c r="Z8" t="s">
        <v>94</v>
      </c>
      <c r="AA8" t="s">
        <v>625</v>
      </c>
      <c r="AB8" t="s">
        <v>697</v>
      </c>
      <c r="AC8" t="s">
        <v>42</v>
      </c>
      <c r="AD8" t="s">
        <v>53</v>
      </c>
      <c r="AE8" s="36">
        <v>46280</v>
      </c>
      <c r="AF8" t="s">
        <v>72</v>
      </c>
      <c r="AG8" s="36">
        <v>46280</v>
      </c>
      <c r="AH8" t="s">
        <v>72</v>
      </c>
      <c r="AI8">
        <v>100</v>
      </c>
      <c r="AJ8">
        <v>100</v>
      </c>
      <c r="AK8">
        <v>100</v>
      </c>
      <c r="AL8" t="s">
        <v>697</v>
      </c>
      <c r="AN8" t="s">
        <v>697</v>
      </c>
      <c r="AO8" t="s">
        <v>945</v>
      </c>
      <c r="AP8">
        <v>40</v>
      </c>
      <c r="AQ8" t="s">
        <v>591</v>
      </c>
      <c r="AR8" t="s">
        <v>535</v>
      </c>
      <c r="AS8" t="s">
        <v>537</v>
      </c>
      <c r="AT8" t="e">
        <v>#VALUE!</v>
      </c>
      <c r="AU8">
        <v>15</v>
      </c>
    </row>
    <row r="9" spans="1:49" customFormat="1" x14ac:dyDescent="0.25">
      <c r="A9">
        <v>1009</v>
      </c>
      <c r="B9" t="s">
        <v>43</v>
      </c>
      <c r="C9" t="s">
        <v>14</v>
      </c>
      <c r="D9" t="s">
        <v>579</v>
      </c>
      <c r="E9" t="s">
        <v>213</v>
      </c>
      <c r="F9" t="s">
        <v>35</v>
      </c>
      <c r="G9">
        <f>VLOOKUP(Tabela4[[#This Row],[ID]],'Prioridades s-1'!A:A,1,0)</f>
        <v>1009</v>
      </c>
      <c r="H9" s="36">
        <v>46247</v>
      </c>
      <c r="I9" t="s">
        <v>88</v>
      </c>
      <c r="J9" t="s">
        <v>37</v>
      </c>
      <c r="K9" t="s">
        <v>37</v>
      </c>
      <c r="L9" t="s">
        <v>697</v>
      </c>
      <c r="M9" t="s">
        <v>697</v>
      </c>
      <c r="N9" t="s">
        <v>740</v>
      </c>
      <c r="O9" t="s">
        <v>39</v>
      </c>
      <c r="P9" t="s">
        <v>213</v>
      </c>
      <c r="Q9" t="s">
        <v>626</v>
      </c>
      <c r="R9" s="36">
        <v>46247</v>
      </c>
      <c r="S9" t="s">
        <v>627</v>
      </c>
      <c r="T9" s="36">
        <v>46269</v>
      </c>
      <c r="V9" s="36">
        <v>46259</v>
      </c>
      <c r="W9" s="36">
        <v>46283</v>
      </c>
      <c r="Y9" t="s">
        <v>72</v>
      </c>
      <c r="Z9" t="s">
        <v>94</v>
      </c>
      <c r="AA9" t="s">
        <v>628</v>
      </c>
      <c r="AB9" t="s">
        <v>88</v>
      </c>
      <c r="AC9" t="s">
        <v>42</v>
      </c>
      <c r="AD9" t="s">
        <v>53</v>
      </c>
      <c r="AE9" s="36">
        <v>46269</v>
      </c>
      <c r="AF9" t="s">
        <v>72</v>
      </c>
      <c r="AG9" s="36">
        <v>46269</v>
      </c>
      <c r="AH9" t="s">
        <v>72</v>
      </c>
      <c r="AI9">
        <v>100</v>
      </c>
      <c r="AJ9">
        <v>100</v>
      </c>
      <c r="AK9">
        <v>100</v>
      </c>
      <c r="AL9" t="s">
        <v>697</v>
      </c>
      <c r="AN9" t="s">
        <v>697</v>
      </c>
      <c r="AO9" t="s">
        <v>946</v>
      </c>
      <c r="AP9">
        <v>39</v>
      </c>
      <c r="AQ9" t="s">
        <v>591</v>
      </c>
      <c r="AR9" t="s">
        <v>535</v>
      </c>
      <c r="AS9" t="s">
        <v>537</v>
      </c>
      <c r="AT9" t="e">
        <v>#VALUE!</v>
      </c>
      <c r="AU9">
        <v>22</v>
      </c>
    </row>
    <row r="10" spans="1:49" customFormat="1" x14ac:dyDescent="0.25">
      <c r="A10" s="64">
        <v>1012</v>
      </c>
      <c r="B10" s="64" t="s">
        <v>43</v>
      </c>
      <c r="C10" s="64" t="s">
        <v>14</v>
      </c>
      <c r="D10" s="64" t="s">
        <v>579</v>
      </c>
      <c r="E10" s="64" t="s">
        <v>397</v>
      </c>
      <c r="F10" s="64" t="s">
        <v>35</v>
      </c>
      <c r="G10" s="64" t="e">
        <f>VLOOKUP(Tabela4[[#This Row],[ID]],'Prioridades s-1'!A:A,1,0)</f>
        <v>#N/A</v>
      </c>
      <c r="H10" s="65">
        <v>46237</v>
      </c>
      <c r="I10" s="64" t="s">
        <v>88</v>
      </c>
      <c r="J10" s="64" t="s">
        <v>37</v>
      </c>
      <c r="K10" s="64" t="s">
        <v>37</v>
      </c>
      <c r="L10" s="64" t="s">
        <v>697</v>
      </c>
      <c r="M10" s="64" t="s">
        <v>697</v>
      </c>
      <c r="N10" s="64" t="s">
        <v>742</v>
      </c>
      <c r="O10" s="64" t="s">
        <v>39</v>
      </c>
      <c r="P10" s="64" t="s">
        <v>397</v>
      </c>
      <c r="Q10" s="64" t="s">
        <v>629</v>
      </c>
      <c r="R10" s="65">
        <v>46262</v>
      </c>
      <c r="S10" s="64" t="s">
        <v>743</v>
      </c>
      <c r="T10" s="65">
        <v>46269</v>
      </c>
      <c r="U10" s="64" t="s">
        <v>957</v>
      </c>
      <c r="V10" s="65">
        <v>46295</v>
      </c>
      <c r="W10" s="65">
        <v>46283</v>
      </c>
      <c r="X10" s="64"/>
      <c r="Y10" s="64" t="s">
        <v>72</v>
      </c>
      <c r="Z10" s="64" t="s">
        <v>94</v>
      </c>
      <c r="AA10" s="64" t="s">
        <v>630</v>
      </c>
      <c r="AB10" s="64" t="s">
        <v>697</v>
      </c>
      <c r="AC10" s="64" t="s">
        <v>42</v>
      </c>
      <c r="AD10" s="64" t="s">
        <v>53</v>
      </c>
      <c r="AE10" s="65">
        <v>46269</v>
      </c>
      <c r="AF10" s="64" t="s">
        <v>72</v>
      </c>
      <c r="AG10" s="65">
        <v>46269</v>
      </c>
      <c r="AH10" s="64" t="s">
        <v>72</v>
      </c>
      <c r="AI10" s="64">
        <v>100</v>
      </c>
      <c r="AJ10" s="64">
        <v>100</v>
      </c>
      <c r="AK10" s="64">
        <v>100</v>
      </c>
      <c r="AL10" s="64" t="s">
        <v>697</v>
      </c>
      <c r="AM10" s="64"/>
      <c r="AN10" s="64" t="s">
        <v>697</v>
      </c>
      <c r="AO10" s="64" t="s">
        <v>945</v>
      </c>
      <c r="AP10" s="64">
        <v>49</v>
      </c>
      <c r="AQ10" s="64" t="s">
        <v>591</v>
      </c>
      <c r="AR10" s="64" t="s">
        <v>534</v>
      </c>
      <c r="AS10" s="64" t="s">
        <v>536</v>
      </c>
      <c r="AT10" s="64" t="e">
        <v>#VALUE!</v>
      </c>
      <c r="AU10" s="64">
        <v>7</v>
      </c>
    </row>
    <row r="11" spans="1:49" customFormat="1" x14ac:dyDescent="0.25">
      <c r="A11">
        <v>1016</v>
      </c>
      <c r="B11" t="s">
        <v>54</v>
      </c>
      <c r="C11" t="s">
        <v>102</v>
      </c>
      <c r="D11" t="s">
        <v>584</v>
      </c>
      <c r="E11" t="s">
        <v>166</v>
      </c>
      <c r="F11" t="s">
        <v>55</v>
      </c>
      <c r="G11">
        <f>VLOOKUP(Tabela4[[#This Row],[ID]],'Prioridades s-1'!A:A,1,0)</f>
        <v>1016</v>
      </c>
      <c r="H11" s="36">
        <v>46247</v>
      </c>
      <c r="I11" t="s">
        <v>49</v>
      </c>
      <c r="J11" t="s">
        <v>37</v>
      </c>
      <c r="K11" t="s">
        <v>37</v>
      </c>
      <c r="L11" t="s">
        <v>697</v>
      </c>
      <c r="M11" t="s">
        <v>697</v>
      </c>
      <c r="N11" t="s">
        <v>700</v>
      </c>
      <c r="O11" t="s">
        <v>64</v>
      </c>
      <c r="P11" t="s">
        <v>166</v>
      </c>
      <c r="Q11" t="s">
        <v>616</v>
      </c>
      <c r="R11" s="36">
        <v>46275</v>
      </c>
      <c r="S11" t="s">
        <v>1030</v>
      </c>
      <c r="T11" s="36">
        <v>46275</v>
      </c>
      <c r="U11" t="s">
        <v>1031</v>
      </c>
      <c r="V11" s="36">
        <v>46276</v>
      </c>
      <c r="W11" s="36">
        <v>46276</v>
      </c>
      <c r="Y11" t="s">
        <v>49</v>
      </c>
      <c r="Z11" t="s">
        <v>73</v>
      </c>
      <c r="AB11" t="s">
        <v>447</v>
      </c>
      <c r="AC11" t="s">
        <v>42</v>
      </c>
      <c r="AD11" t="s">
        <v>53</v>
      </c>
      <c r="AE11" s="36">
        <v>46275</v>
      </c>
      <c r="AF11" t="s">
        <v>49</v>
      </c>
      <c r="AG11" s="36">
        <v>46275</v>
      </c>
      <c r="AH11" t="s">
        <v>49</v>
      </c>
      <c r="AI11">
        <v>100</v>
      </c>
      <c r="AJ11">
        <v>100</v>
      </c>
      <c r="AK11">
        <v>100</v>
      </c>
      <c r="AL11" t="s">
        <v>697</v>
      </c>
      <c r="AN11" t="s">
        <v>697</v>
      </c>
      <c r="AO11" t="s">
        <v>940</v>
      </c>
      <c r="AP11">
        <v>39</v>
      </c>
      <c r="AQ11" t="s">
        <v>591</v>
      </c>
      <c r="AR11" t="s">
        <v>535</v>
      </c>
      <c r="AS11" t="s">
        <v>537</v>
      </c>
      <c r="AT11" t="e">
        <v>#VALUE!</v>
      </c>
      <c r="AU11">
        <v>0</v>
      </c>
    </row>
    <row r="12" spans="1:49" customFormat="1" x14ac:dyDescent="0.25">
      <c r="A12">
        <v>1027</v>
      </c>
      <c r="B12" t="s">
        <v>43</v>
      </c>
      <c r="C12" t="s">
        <v>14</v>
      </c>
      <c r="D12" t="s">
        <v>579</v>
      </c>
      <c r="E12" t="s">
        <v>273</v>
      </c>
      <c r="F12" t="s">
        <v>35</v>
      </c>
      <c r="G12">
        <f>VLOOKUP(Tabela4[[#This Row],[ID]],'Prioridades s-1'!A:A,1,0)</f>
        <v>1027</v>
      </c>
      <c r="H12" s="36">
        <v>46265</v>
      </c>
      <c r="I12" t="s">
        <v>88</v>
      </c>
      <c r="J12" t="s">
        <v>37</v>
      </c>
      <c r="K12" t="s">
        <v>37</v>
      </c>
      <c r="L12" t="s">
        <v>697</v>
      </c>
      <c r="M12" t="s">
        <v>697</v>
      </c>
      <c r="N12" t="s">
        <v>747</v>
      </c>
      <c r="O12" t="s">
        <v>39</v>
      </c>
      <c r="P12" t="s">
        <v>273</v>
      </c>
      <c r="Q12" t="s">
        <v>634</v>
      </c>
      <c r="R12" s="36">
        <v>46252</v>
      </c>
      <c r="T12" s="36">
        <v>46280</v>
      </c>
      <c r="U12" t="s">
        <v>1032</v>
      </c>
      <c r="V12" s="36">
        <v>46265</v>
      </c>
      <c r="W12" s="36">
        <v>46289</v>
      </c>
      <c r="Y12" t="s">
        <v>72</v>
      </c>
      <c r="Z12" t="s">
        <v>94</v>
      </c>
      <c r="AA12" t="s">
        <v>635</v>
      </c>
      <c r="AB12" t="s">
        <v>697</v>
      </c>
      <c r="AC12" t="s">
        <v>42</v>
      </c>
      <c r="AD12" t="s">
        <v>53</v>
      </c>
      <c r="AE12" s="36">
        <v>46280</v>
      </c>
      <c r="AF12" t="s">
        <v>72</v>
      </c>
      <c r="AG12" s="36">
        <v>46280</v>
      </c>
      <c r="AH12" t="s">
        <v>72</v>
      </c>
      <c r="AI12">
        <v>100</v>
      </c>
      <c r="AJ12">
        <v>100</v>
      </c>
      <c r="AK12">
        <v>100</v>
      </c>
      <c r="AL12" t="s">
        <v>697</v>
      </c>
      <c r="AN12" t="s">
        <v>697</v>
      </c>
      <c r="AO12" t="s">
        <v>945</v>
      </c>
      <c r="AP12">
        <v>21</v>
      </c>
      <c r="AQ12" t="s">
        <v>592</v>
      </c>
      <c r="AR12" t="s">
        <v>535</v>
      </c>
      <c r="AS12" t="s">
        <v>537</v>
      </c>
      <c r="AT12" t="e">
        <v>#VALUE!</v>
      </c>
      <c r="AU12">
        <v>28</v>
      </c>
    </row>
    <row r="13" spans="1:49" customFormat="1" x14ac:dyDescent="0.25">
      <c r="A13">
        <v>1045</v>
      </c>
      <c r="B13" t="s">
        <v>43</v>
      </c>
      <c r="C13" t="s">
        <v>116</v>
      </c>
      <c r="D13" t="s">
        <v>579</v>
      </c>
      <c r="E13" t="s">
        <v>215</v>
      </c>
      <c r="F13" t="s">
        <v>35</v>
      </c>
      <c r="G13">
        <f>VLOOKUP(Tabela4[[#This Row],[ID]],'Prioridades s-1'!A:A,1,0)</f>
        <v>1045</v>
      </c>
      <c r="H13" s="36">
        <v>46254</v>
      </c>
      <c r="I13" t="s">
        <v>44</v>
      </c>
      <c r="J13" t="s">
        <v>37</v>
      </c>
      <c r="K13" t="s">
        <v>37</v>
      </c>
      <c r="L13" t="s">
        <v>697</v>
      </c>
      <c r="M13" t="s">
        <v>697</v>
      </c>
      <c r="N13" t="s">
        <v>665</v>
      </c>
      <c r="O13" t="s">
        <v>39</v>
      </c>
      <c r="P13" t="s">
        <v>215</v>
      </c>
      <c r="Q13" t="s">
        <v>666</v>
      </c>
      <c r="R13" s="36">
        <v>46253</v>
      </c>
      <c r="S13" t="s">
        <v>667</v>
      </c>
      <c r="T13" s="36">
        <v>46280</v>
      </c>
      <c r="V13" s="36">
        <v>46284</v>
      </c>
      <c r="W13" s="36">
        <v>46283</v>
      </c>
      <c r="Y13" t="s">
        <v>72</v>
      </c>
      <c r="Z13" t="s">
        <v>94</v>
      </c>
      <c r="AA13" t="s">
        <v>668</v>
      </c>
      <c r="AB13" t="s">
        <v>44</v>
      </c>
      <c r="AC13" t="s">
        <v>42</v>
      </c>
      <c r="AD13" t="s">
        <v>53</v>
      </c>
      <c r="AE13" s="36">
        <v>46280</v>
      </c>
      <c r="AF13" t="s">
        <v>72</v>
      </c>
      <c r="AG13" s="36">
        <v>46280</v>
      </c>
      <c r="AH13" t="s">
        <v>72</v>
      </c>
      <c r="AI13">
        <v>100</v>
      </c>
      <c r="AJ13">
        <v>100</v>
      </c>
      <c r="AK13">
        <v>100</v>
      </c>
      <c r="AL13" t="s">
        <v>697</v>
      </c>
      <c r="AN13" t="s">
        <v>697</v>
      </c>
      <c r="AO13" t="s">
        <v>949</v>
      </c>
      <c r="AP13">
        <v>32</v>
      </c>
      <c r="AQ13" t="s">
        <v>591</v>
      </c>
      <c r="AR13" t="s">
        <v>535</v>
      </c>
      <c r="AS13" t="s">
        <v>536</v>
      </c>
      <c r="AT13" t="e">
        <v>#VALUE!</v>
      </c>
      <c r="AU13">
        <v>27</v>
      </c>
    </row>
    <row r="14" spans="1:49" customFormat="1" x14ac:dyDescent="0.25">
      <c r="A14">
        <v>1057</v>
      </c>
      <c r="B14" t="s">
        <v>43</v>
      </c>
      <c r="C14" t="s">
        <v>102</v>
      </c>
      <c r="D14" t="s">
        <v>579</v>
      </c>
      <c r="E14" t="s">
        <v>183</v>
      </c>
      <c r="F14" t="s">
        <v>35</v>
      </c>
      <c r="G14">
        <f>VLOOKUP(Tabela4[[#This Row],[ID]],'Prioridades s-1'!A:A,1,0)</f>
        <v>1057</v>
      </c>
      <c r="H14" s="36">
        <v>46255</v>
      </c>
      <c r="I14" t="s">
        <v>44</v>
      </c>
      <c r="J14" t="s">
        <v>37</v>
      </c>
      <c r="K14" t="s">
        <v>37</v>
      </c>
      <c r="L14" t="s">
        <v>697</v>
      </c>
      <c r="M14" t="s">
        <v>697</v>
      </c>
      <c r="N14" t="s">
        <v>755</v>
      </c>
      <c r="O14" t="s">
        <v>57</v>
      </c>
      <c r="P14" t="s">
        <v>183</v>
      </c>
      <c r="Q14" t="s">
        <v>756</v>
      </c>
      <c r="R14" s="36">
        <v>46258</v>
      </c>
      <c r="S14" t="s">
        <v>757</v>
      </c>
      <c r="T14" s="36">
        <v>46269</v>
      </c>
      <c r="U14" t="s">
        <v>958</v>
      </c>
      <c r="V14" s="36">
        <v>46285</v>
      </c>
      <c r="W14" s="36">
        <v>46285</v>
      </c>
      <c r="Y14" t="s">
        <v>72</v>
      </c>
      <c r="Z14" t="s">
        <v>94</v>
      </c>
      <c r="AA14" t="s">
        <v>758</v>
      </c>
      <c r="AB14" t="s">
        <v>44</v>
      </c>
      <c r="AC14" t="s">
        <v>42</v>
      </c>
      <c r="AD14" t="s">
        <v>53</v>
      </c>
      <c r="AE14" s="36">
        <v>46269</v>
      </c>
      <c r="AF14" t="s">
        <v>72</v>
      </c>
      <c r="AG14" s="36">
        <v>46269</v>
      </c>
      <c r="AH14" t="s">
        <v>72</v>
      </c>
      <c r="AI14">
        <v>100</v>
      </c>
      <c r="AJ14">
        <v>100</v>
      </c>
      <c r="AK14">
        <v>100</v>
      </c>
      <c r="AL14" t="s">
        <v>697</v>
      </c>
      <c r="AN14" t="s">
        <v>697</v>
      </c>
      <c r="AO14" t="s">
        <v>947</v>
      </c>
      <c r="AP14">
        <v>31</v>
      </c>
      <c r="AQ14" t="s">
        <v>591</v>
      </c>
      <c r="AR14" t="s">
        <v>535</v>
      </c>
      <c r="AS14" t="s">
        <v>536</v>
      </c>
      <c r="AT14" t="e">
        <v>#VALUE!</v>
      </c>
      <c r="AU14">
        <v>11</v>
      </c>
    </row>
    <row r="15" spans="1:49" customFormat="1" x14ac:dyDescent="0.25">
      <c r="A15">
        <v>1060</v>
      </c>
      <c r="B15" t="s">
        <v>43</v>
      </c>
      <c r="C15" t="s">
        <v>14</v>
      </c>
      <c r="D15" t="s">
        <v>579</v>
      </c>
      <c r="E15" t="s">
        <v>107</v>
      </c>
      <c r="F15" t="s">
        <v>35</v>
      </c>
      <c r="G15">
        <f>VLOOKUP(Tabela4[[#This Row],[ID]],'Prioridades s-1'!A:A,1,0)</f>
        <v>1060</v>
      </c>
      <c r="H15" s="36">
        <v>46258</v>
      </c>
      <c r="I15" t="s">
        <v>114</v>
      </c>
      <c r="J15" t="s">
        <v>37</v>
      </c>
      <c r="K15" t="s">
        <v>37</v>
      </c>
      <c r="L15" t="s">
        <v>697</v>
      </c>
      <c r="M15" t="s">
        <v>697</v>
      </c>
      <c r="N15" t="s">
        <v>761</v>
      </c>
      <c r="O15" t="s">
        <v>64</v>
      </c>
      <c r="P15" t="s">
        <v>107</v>
      </c>
      <c r="Q15" t="s">
        <v>762</v>
      </c>
      <c r="R15" s="36">
        <v>46258</v>
      </c>
      <c r="S15" t="s">
        <v>763</v>
      </c>
      <c r="T15" s="36">
        <v>46280</v>
      </c>
      <c r="U15" t="s">
        <v>1034</v>
      </c>
      <c r="V15" s="36">
        <v>46265</v>
      </c>
      <c r="W15" s="36">
        <v>46309</v>
      </c>
      <c r="Y15" t="s">
        <v>72</v>
      </c>
      <c r="Z15" t="s">
        <v>94</v>
      </c>
      <c r="AB15" t="s">
        <v>697</v>
      </c>
      <c r="AC15" t="s">
        <v>42</v>
      </c>
      <c r="AD15" t="s">
        <v>53</v>
      </c>
      <c r="AE15" s="36">
        <v>46280</v>
      </c>
      <c r="AF15" t="s">
        <v>72</v>
      </c>
      <c r="AG15" s="36">
        <v>46280</v>
      </c>
      <c r="AH15" t="s">
        <v>72</v>
      </c>
      <c r="AI15">
        <v>100</v>
      </c>
      <c r="AJ15">
        <v>100</v>
      </c>
      <c r="AK15">
        <v>100</v>
      </c>
      <c r="AL15" t="s">
        <v>697</v>
      </c>
      <c r="AN15" t="s">
        <v>697</v>
      </c>
      <c r="AO15" t="s">
        <v>938</v>
      </c>
      <c r="AP15">
        <v>28</v>
      </c>
      <c r="AQ15" t="s">
        <v>592</v>
      </c>
      <c r="AR15" t="s">
        <v>535</v>
      </c>
      <c r="AS15" t="s">
        <v>537</v>
      </c>
      <c r="AT15" t="e">
        <v>#VALUE!</v>
      </c>
      <c r="AU15">
        <v>22</v>
      </c>
    </row>
    <row r="16" spans="1:49" s="64" customFormat="1" x14ac:dyDescent="0.25">
      <c r="A16" s="64">
        <v>1062</v>
      </c>
      <c r="B16" s="64" t="s">
        <v>43</v>
      </c>
      <c r="C16" s="64" t="s">
        <v>14</v>
      </c>
      <c r="D16" s="64" t="s">
        <v>580</v>
      </c>
      <c r="E16" s="64" t="s">
        <v>107</v>
      </c>
      <c r="F16" s="64" t="s">
        <v>35</v>
      </c>
      <c r="G16" s="64">
        <f>VLOOKUP(Tabela4[[#This Row],[ID]],'Prioridades s-1'!A:A,1,0)</f>
        <v>1062</v>
      </c>
      <c r="H16" s="65">
        <v>46258</v>
      </c>
      <c r="I16" s="64" t="s">
        <v>114</v>
      </c>
      <c r="J16" s="64" t="s">
        <v>37</v>
      </c>
      <c r="K16" s="64" t="s">
        <v>156</v>
      </c>
      <c r="L16" s="64" t="s">
        <v>697</v>
      </c>
      <c r="M16" s="64" t="s">
        <v>697</v>
      </c>
      <c r="N16" s="64" t="s">
        <v>770</v>
      </c>
      <c r="O16" s="64" t="s">
        <v>64</v>
      </c>
      <c r="P16" s="64" t="s">
        <v>107</v>
      </c>
      <c r="Q16" s="64" t="s">
        <v>766</v>
      </c>
      <c r="R16" s="65">
        <v>46275</v>
      </c>
      <c r="S16" s="64" t="s">
        <v>1035</v>
      </c>
      <c r="T16" s="65">
        <v>46276</v>
      </c>
      <c r="V16" s="65">
        <v>46442</v>
      </c>
      <c r="Y16" s="64" t="s">
        <v>1036</v>
      </c>
      <c r="Z16" s="64" t="s">
        <v>82</v>
      </c>
      <c r="AB16" s="64" t="s">
        <v>697</v>
      </c>
      <c r="AC16" s="64" t="s">
        <v>42</v>
      </c>
      <c r="AD16" s="64" t="s">
        <v>53</v>
      </c>
      <c r="AE16" s="65">
        <v>46276</v>
      </c>
      <c r="AF16" s="64" t="s">
        <v>83</v>
      </c>
      <c r="AG16" s="65">
        <v>46276</v>
      </c>
      <c r="AH16" s="64" t="s">
        <v>83</v>
      </c>
      <c r="AI16" s="64">
        <v>100</v>
      </c>
      <c r="AJ16" s="64">
        <v>100</v>
      </c>
      <c r="AK16" s="64">
        <v>100</v>
      </c>
      <c r="AL16" s="64" t="s">
        <v>697</v>
      </c>
      <c r="AN16" s="64" t="s">
        <v>697</v>
      </c>
      <c r="AO16" s="64" t="s">
        <v>938</v>
      </c>
      <c r="AP16" s="64">
        <v>28</v>
      </c>
      <c r="AQ16" s="64" t="s">
        <v>592</v>
      </c>
      <c r="AR16" s="64" t="s">
        <v>534</v>
      </c>
      <c r="AS16" s="64" t="s">
        <v>536</v>
      </c>
      <c r="AT16" s="64" t="e">
        <v>#VALUE!</v>
      </c>
      <c r="AU16" s="64">
        <v>1</v>
      </c>
    </row>
    <row r="17" spans="1:47" s="64" customFormat="1" x14ac:dyDescent="0.25">
      <c r="A17" s="64">
        <v>1064</v>
      </c>
      <c r="B17" s="64" t="s">
        <v>43</v>
      </c>
      <c r="C17" s="64" t="s">
        <v>14</v>
      </c>
      <c r="D17" s="64" t="s">
        <v>579</v>
      </c>
      <c r="E17" s="64" t="s">
        <v>774</v>
      </c>
      <c r="F17" s="64" t="s">
        <v>35</v>
      </c>
      <c r="G17" s="64">
        <f>VLOOKUP(Tabela4[[#This Row],[ID]],'Prioridades s-1'!A:A,1,0)</f>
        <v>1064</v>
      </c>
      <c r="H17" s="65">
        <v>46258</v>
      </c>
      <c r="I17" s="64" t="s">
        <v>114</v>
      </c>
      <c r="J17" s="64" t="s">
        <v>37</v>
      </c>
      <c r="K17" s="64" t="s">
        <v>37</v>
      </c>
      <c r="L17" s="64" t="s">
        <v>697</v>
      </c>
      <c r="M17" s="64" t="s">
        <v>697</v>
      </c>
      <c r="N17" s="64" t="s">
        <v>773</v>
      </c>
      <c r="O17" s="64" t="s">
        <v>57</v>
      </c>
      <c r="P17" s="64" t="s">
        <v>774</v>
      </c>
      <c r="Q17" s="64" t="s">
        <v>775</v>
      </c>
      <c r="R17" s="65">
        <v>46258</v>
      </c>
      <c r="S17" s="64" t="s">
        <v>779</v>
      </c>
      <c r="T17" s="65">
        <v>46280</v>
      </c>
      <c r="U17" s="64" t="s">
        <v>1037</v>
      </c>
      <c r="V17" s="65">
        <v>46295</v>
      </c>
      <c r="W17" s="65">
        <v>46291</v>
      </c>
      <c r="Y17" s="64" t="s">
        <v>72</v>
      </c>
      <c r="Z17" s="64" t="s">
        <v>94</v>
      </c>
      <c r="AB17" s="64" t="s">
        <v>56</v>
      </c>
      <c r="AC17" s="64" t="s">
        <v>42</v>
      </c>
      <c r="AD17" s="64" t="s">
        <v>14</v>
      </c>
      <c r="AE17" s="65">
        <v>46280</v>
      </c>
      <c r="AF17" s="64" t="s">
        <v>72</v>
      </c>
      <c r="AG17" s="65">
        <v>46280</v>
      </c>
      <c r="AH17" s="64" t="s">
        <v>72</v>
      </c>
      <c r="AI17" s="64">
        <v>100</v>
      </c>
      <c r="AJ17" s="64">
        <v>100</v>
      </c>
      <c r="AK17" s="64">
        <v>100</v>
      </c>
      <c r="AL17" s="64" t="s">
        <v>697</v>
      </c>
      <c r="AN17" s="64" t="s">
        <v>697</v>
      </c>
      <c r="AO17" s="64" t="s">
        <v>941</v>
      </c>
      <c r="AP17" s="64">
        <v>28</v>
      </c>
      <c r="AQ17" s="64" t="s">
        <v>592</v>
      </c>
      <c r="AR17" s="64" t="s">
        <v>534</v>
      </c>
      <c r="AS17" s="64" t="s">
        <v>536</v>
      </c>
      <c r="AT17" s="64" t="e">
        <v>#VALUE!</v>
      </c>
      <c r="AU17" s="64">
        <v>22</v>
      </c>
    </row>
    <row r="18" spans="1:47" s="64" customFormat="1" x14ac:dyDescent="0.25">
      <c r="A18">
        <v>1110</v>
      </c>
      <c r="B18" t="s">
        <v>43</v>
      </c>
      <c r="C18" t="s">
        <v>80</v>
      </c>
      <c r="D18" t="s">
        <v>579</v>
      </c>
      <c r="E18" t="s">
        <v>1054</v>
      </c>
      <c r="F18" t="s">
        <v>35</v>
      </c>
      <c r="G18" t="e">
        <f>VLOOKUP(Tabela4[[#This Row],[ID]],'Prioridades s-1'!A:A,1,0)</f>
        <v>#N/A</v>
      </c>
      <c r="H18" s="36">
        <v>46274</v>
      </c>
      <c r="I18" t="s">
        <v>44</v>
      </c>
      <c r="J18" t="s">
        <v>37</v>
      </c>
      <c r="K18" t="s">
        <v>156</v>
      </c>
      <c r="L18" t="s">
        <v>1052</v>
      </c>
      <c r="M18" t="s">
        <v>697</v>
      </c>
      <c r="N18" t="s">
        <v>1053</v>
      </c>
      <c r="O18" t="s">
        <v>39</v>
      </c>
      <c r="P18" t="s">
        <v>1054</v>
      </c>
      <c r="Q18" t="s">
        <v>1055</v>
      </c>
      <c r="R18" s="36">
        <v>46275</v>
      </c>
      <c r="S18" t="s">
        <v>1056</v>
      </c>
      <c r="T18"/>
      <c r="U18"/>
      <c r="V18" s="36">
        <v>46285</v>
      </c>
      <c r="W18"/>
      <c r="X18"/>
      <c r="Y18" t="s">
        <v>72</v>
      </c>
      <c r="Z18" t="s">
        <v>697</v>
      </c>
      <c r="AA18" t="s">
        <v>1057</v>
      </c>
      <c r="AB18" t="s">
        <v>44</v>
      </c>
      <c r="AC18" t="s">
        <v>42</v>
      </c>
      <c r="AD18" t="s">
        <v>53</v>
      </c>
      <c r="AE18" s="36">
        <v>46276</v>
      </c>
      <c r="AF18" t="s">
        <v>71</v>
      </c>
      <c r="AG18" s="36">
        <v>46276</v>
      </c>
      <c r="AH18" t="s">
        <v>71</v>
      </c>
      <c r="AI18">
        <v>100</v>
      </c>
      <c r="AJ18">
        <v>100</v>
      </c>
      <c r="AK18">
        <v>50</v>
      </c>
      <c r="AL18" t="s">
        <v>654</v>
      </c>
      <c r="AM18"/>
      <c r="AN18" t="s">
        <v>653</v>
      </c>
      <c r="AO18" t="s">
        <v>946</v>
      </c>
      <c r="AP18">
        <v>12</v>
      </c>
      <c r="AQ18" t="s">
        <v>593</v>
      </c>
      <c r="AR18" t="s">
        <v>535</v>
      </c>
      <c r="AS18" t="s">
        <v>536</v>
      </c>
      <c r="AT18" t="e">
        <v>#VALUE!</v>
      </c>
      <c r="AU18">
        <v>11</v>
      </c>
    </row>
    <row r="19" spans="1:47" s="64" customFormat="1" x14ac:dyDescent="0.25">
      <c r="A19" s="64">
        <v>1119</v>
      </c>
      <c r="B19" s="64" t="s">
        <v>43</v>
      </c>
      <c r="C19" s="64" t="s">
        <v>80</v>
      </c>
      <c r="D19" s="64" t="s">
        <v>579</v>
      </c>
      <c r="E19" s="64" t="s">
        <v>45</v>
      </c>
      <c r="F19" s="64" t="s">
        <v>35</v>
      </c>
      <c r="G19" s="64" t="e">
        <f>VLOOKUP(Tabela4[[#This Row],[ID]],'Prioridades s-1'!A:A,1,0)</f>
        <v>#N/A</v>
      </c>
      <c r="H19" s="65">
        <v>46280</v>
      </c>
      <c r="I19" s="64" t="s">
        <v>44</v>
      </c>
      <c r="J19" s="64" t="s">
        <v>37</v>
      </c>
      <c r="K19" s="64" t="s">
        <v>156</v>
      </c>
      <c r="L19" s="64" t="s">
        <v>1059</v>
      </c>
      <c r="M19" s="64" t="s">
        <v>697</v>
      </c>
      <c r="N19" s="64" t="s">
        <v>1060</v>
      </c>
      <c r="O19" s="64" t="s">
        <v>39</v>
      </c>
      <c r="P19" s="64" t="s">
        <v>45</v>
      </c>
      <c r="Q19" s="64" t="s">
        <v>1061</v>
      </c>
      <c r="R19" s="65">
        <v>46279</v>
      </c>
      <c r="S19" s="64" t="s">
        <v>1062</v>
      </c>
      <c r="V19" s="65">
        <v>46300</v>
      </c>
      <c r="Y19" s="64" t="s">
        <v>72</v>
      </c>
      <c r="Z19" s="64" t="s">
        <v>697</v>
      </c>
      <c r="AA19" s="64" t="s">
        <v>1057</v>
      </c>
      <c r="AB19" s="64" t="s">
        <v>44</v>
      </c>
      <c r="AC19" s="64" t="s">
        <v>42</v>
      </c>
      <c r="AD19" s="64" t="s">
        <v>53</v>
      </c>
      <c r="AE19" s="65">
        <v>46280</v>
      </c>
      <c r="AF19" s="64" t="s">
        <v>71</v>
      </c>
      <c r="AG19" s="65">
        <v>46280</v>
      </c>
      <c r="AH19" s="64" t="s">
        <v>71</v>
      </c>
      <c r="AI19" s="64">
        <v>100</v>
      </c>
      <c r="AJ19" s="64">
        <v>100</v>
      </c>
      <c r="AK19" s="64">
        <v>50</v>
      </c>
      <c r="AL19" s="64" t="s">
        <v>654</v>
      </c>
      <c r="AN19" s="64" t="s">
        <v>653</v>
      </c>
      <c r="AO19" s="64" t="s">
        <v>948</v>
      </c>
      <c r="AP19" s="64">
        <v>6</v>
      </c>
      <c r="AQ19" s="64" t="s">
        <v>593</v>
      </c>
      <c r="AR19" s="64" t="s">
        <v>534</v>
      </c>
      <c r="AS19" s="64" t="s">
        <v>536</v>
      </c>
      <c r="AT19" s="64" t="e">
        <v>#VALUE!</v>
      </c>
      <c r="AU19" s="64">
        <v>7</v>
      </c>
    </row>
    <row r="20" spans="1:47" s="64" customFormat="1" x14ac:dyDescent="0.25">
      <c r="A20">
        <v>1120</v>
      </c>
      <c r="B20" t="s">
        <v>54</v>
      </c>
      <c r="C20" t="s">
        <v>116</v>
      </c>
      <c r="D20" t="s">
        <v>1081</v>
      </c>
      <c r="E20" t="s">
        <v>65</v>
      </c>
      <c r="F20" t="s">
        <v>55</v>
      </c>
      <c r="G20" t="e">
        <f>VLOOKUP(Tabela4[[#This Row],[ID]],'Prioridades s-1'!A:A,1,0)</f>
        <v>#N/A</v>
      </c>
      <c r="H20" s="36">
        <v>46281</v>
      </c>
      <c r="I20" t="s">
        <v>44</v>
      </c>
      <c r="J20" t="s">
        <v>37</v>
      </c>
      <c r="K20" t="s">
        <v>156</v>
      </c>
      <c r="L20" t="s">
        <v>1064</v>
      </c>
      <c r="M20" t="s">
        <v>1065</v>
      </c>
      <c r="N20" t="s">
        <v>697</v>
      </c>
      <c r="O20" t="s">
        <v>64</v>
      </c>
      <c r="P20" t="s">
        <v>65</v>
      </c>
      <c r="Q20" t="s">
        <v>1066</v>
      </c>
      <c r="R20" s="36">
        <v>46281</v>
      </c>
      <c r="S20" t="s">
        <v>1067</v>
      </c>
      <c r="T20"/>
      <c r="U20"/>
      <c r="V20" s="36">
        <v>46281</v>
      </c>
      <c r="W20"/>
      <c r="X20"/>
      <c r="Y20" t="s">
        <v>1068</v>
      </c>
      <c r="Z20" t="s">
        <v>697</v>
      </c>
      <c r="AA20" t="s">
        <v>1069</v>
      </c>
      <c r="AB20" t="s">
        <v>44</v>
      </c>
      <c r="AC20" t="s">
        <v>42</v>
      </c>
      <c r="AD20" t="s">
        <v>53</v>
      </c>
      <c r="AE20" s="36">
        <v>46281</v>
      </c>
      <c r="AF20" t="s">
        <v>71</v>
      </c>
      <c r="AG20" s="36">
        <v>46281</v>
      </c>
      <c r="AH20" t="s">
        <v>71</v>
      </c>
      <c r="AI20">
        <v>100</v>
      </c>
      <c r="AJ20">
        <v>100</v>
      </c>
      <c r="AK20">
        <v>50</v>
      </c>
      <c r="AL20" t="s">
        <v>1070</v>
      </c>
      <c r="AM20"/>
      <c r="AN20" t="s">
        <v>1071</v>
      </c>
      <c r="AO20" t="s">
        <v>937</v>
      </c>
      <c r="AP20">
        <v>5</v>
      </c>
      <c r="AQ20" t="s">
        <v>590</v>
      </c>
      <c r="AR20" t="s">
        <v>535</v>
      </c>
      <c r="AS20" t="s">
        <v>536</v>
      </c>
      <c r="AT20" t="e">
        <v>#VALUE!</v>
      </c>
      <c r="AU20">
        <v>5</v>
      </c>
    </row>
  </sheetData>
  <phoneticPr fontId="8" type="noConversion"/>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99576-9DB5-41AC-9A00-1ED6A57CA808}">
  <dimension ref="A1:AU27"/>
  <sheetViews>
    <sheetView zoomScaleNormal="100" workbookViewId="0">
      <selection activeCell="H10" sqref="H10"/>
    </sheetView>
  </sheetViews>
  <sheetFormatPr defaultColWidth="9" defaultRowHeight="8.25" x14ac:dyDescent="0.15"/>
  <cols>
    <col min="1" max="1" width="9.28515625" style="49" bestFit="1" customWidth="1"/>
    <col min="2" max="2" width="10.42578125" style="49" bestFit="1" customWidth="1"/>
    <col min="3" max="3" width="19.5703125" style="49" bestFit="1" customWidth="1"/>
    <col min="4" max="4" width="9.140625" style="49" bestFit="1" customWidth="1"/>
    <col min="5" max="5" width="12.42578125" style="49" bestFit="1" customWidth="1"/>
    <col min="6" max="6" width="9.42578125" style="49" customWidth="1"/>
    <col min="7" max="7" width="23.85546875" style="49" bestFit="1" customWidth="1"/>
    <col min="8" max="8" width="17.42578125" style="49" bestFit="1" customWidth="1"/>
    <col min="9" max="9" width="13.5703125" style="49" bestFit="1" customWidth="1"/>
    <col min="10" max="10" width="19.85546875" style="49" bestFit="1" customWidth="1"/>
    <col min="11" max="11" width="9.28515625" style="49" bestFit="1" customWidth="1"/>
    <col min="12" max="12" width="16.42578125" style="49" bestFit="1" customWidth="1"/>
    <col min="13" max="13" width="9.7109375" style="49" bestFit="1" customWidth="1"/>
    <col min="14" max="15" width="9" style="49"/>
    <col min="16" max="16" width="12.42578125" style="49" bestFit="1" customWidth="1"/>
    <col min="17" max="17" width="255.5703125" style="49" bestFit="1" customWidth="1"/>
    <col min="18" max="18" width="16.140625" style="49" bestFit="1" customWidth="1"/>
    <col min="19" max="19" width="255.5703125" style="49" bestFit="1" customWidth="1"/>
    <col min="20" max="20" width="15.7109375" style="49" bestFit="1" customWidth="1"/>
    <col min="21" max="21" width="255.5703125" style="49" bestFit="1" customWidth="1"/>
    <col min="22" max="22" width="18.7109375" style="49" bestFit="1" customWidth="1"/>
    <col min="23" max="23" width="15.42578125" style="49" bestFit="1" customWidth="1"/>
    <col min="24" max="24" width="15.7109375" style="49" bestFit="1" customWidth="1"/>
    <col min="25" max="25" width="34.140625" style="49" bestFit="1" customWidth="1"/>
    <col min="26" max="26" width="14.7109375" style="49" bestFit="1" customWidth="1"/>
    <col min="27" max="27" width="41.28515625" style="49" bestFit="1" customWidth="1"/>
    <col min="28" max="28" width="24" style="49" bestFit="1" customWidth="1"/>
    <col min="29" max="29" width="10" style="49" bestFit="1" customWidth="1"/>
    <col min="30" max="30" width="18.42578125" style="49" bestFit="1" customWidth="1"/>
    <col min="31" max="31" width="11.7109375" style="49" bestFit="1" customWidth="1"/>
    <col min="32" max="32" width="33.5703125" style="49" bestFit="1" customWidth="1"/>
    <col min="33" max="33" width="10" style="49" bestFit="1" customWidth="1"/>
    <col min="34" max="34" width="33.7109375" style="49" bestFit="1" customWidth="1"/>
    <col min="35" max="35" width="12.42578125" style="49" bestFit="1" customWidth="1"/>
    <col min="36" max="36" width="14" style="49" bestFit="1" customWidth="1"/>
    <col min="37" max="37" width="11.7109375" style="49" bestFit="1" customWidth="1"/>
    <col min="38" max="38" width="10.140625" style="49" bestFit="1" customWidth="1"/>
    <col min="39" max="39" width="9.7109375" style="49" bestFit="1" customWidth="1"/>
    <col min="40" max="40" width="11" style="49" bestFit="1" customWidth="1"/>
    <col min="41" max="41" width="19.42578125" style="49" bestFit="1" customWidth="1"/>
    <col min="42" max="42" width="9.140625" style="49" bestFit="1" customWidth="1"/>
    <col min="43" max="43" width="12.140625" style="49" bestFit="1" customWidth="1"/>
    <col min="44" max="44" width="9.28515625" style="49" bestFit="1" customWidth="1"/>
    <col min="45" max="46" width="9.140625" style="49" bestFit="1" customWidth="1"/>
    <col min="47" max="47" width="23.28515625" style="49" bestFit="1" customWidth="1"/>
    <col min="48" max="16384" width="9" style="49"/>
  </cols>
  <sheetData>
    <row r="1" spans="1:47" x14ac:dyDescent="0.15">
      <c r="A1" s="48" t="s">
        <v>646</v>
      </c>
    </row>
    <row r="3" spans="1:47" s="9" customFormat="1" ht="15" x14ac:dyDescent="0.25">
      <c r="A3" s="9" t="s">
        <v>0</v>
      </c>
      <c r="B3" s="9" t="s">
        <v>2</v>
      </c>
      <c r="C3" s="9" t="s">
        <v>13</v>
      </c>
      <c r="D3" s="9" t="s">
        <v>578</v>
      </c>
      <c r="E3" s="9" t="s">
        <v>12</v>
      </c>
      <c r="F3" s="9" t="s">
        <v>3</v>
      </c>
      <c r="G3" s="9" t="s">
        <v>4</v>
      </c>
      <c r="H3" s="9" t="s">
        <v>5</v>
      </c>
      <c r="I3" s="9" t="s">
        <v>6</v>
      </c>
      <c r="J3" s="9" t="s">
        <v>7</v>
      </c>
      <c r="K3" s="9" t="s">
        <v>954</v>
      </c>
      <c r="L3" s="9" t="s">
        <v>8</v>
      </c>
      <c r="M3" s="9" t="s">
        <v>9</v>
      </c>
      <c r="N3" s="9" t="s">
        <v>10</v>
      </c>
      <c r="O3" s="9" t="s">
        <v>11</v>
      </c>
      <c r="P3" s="9" t="s">
        <v>14</v>
      </c>
      <c r="Q3" s="9" t="s">
        <v>15</v>
      </c>
      <c r="R3" s="9" t="s">
        <v>16</v>
      </c>
      <c r="S3" s="9" t="s">
        <v>17</v>
      </c>
      <c r="T3" s="9" t="s">
        <v>18</v>
      </c>
      <c r="U3" s="9" t="s">
        <v>19</v>
      </c>
      <c r="V3" s="9" t="s">
        <v>20</v>
      </c>
      <c r="W3" s="9" t="s">
        <v>21</v>
      </c>
      <c r="X3" s="9" t="s">
        <v>22</v>
      </c>
      <c r="Y3" s="9" t="s">
        <v>23</v>
      </c>
      <c r="Z3" s="9" t="s">
        <v>24</v>
      </c>
      <c r="AA3" s="9" t="s">
        <v>25</v>
      </c>
      <c r="AB3" s="9" t="s">
        <v>26</v>
      </c>
      <c r="AC3" s="9" t="s">
        <v>27</v>
      </c>
      <c r="AD3" s="9" t="s">
        <v>28</v>
      </c>
      <c r="AE3" s="9" t="s">
        <v>29</v>
      </c>
      <c r="AF3" s="9" t="s">
        <v>30</v>
      </c>
      <c r="AG3" s="9" t="s">
        <v>31</v>
      </c>
      <c r="AH3" s="9" t="s">
        <v>32</v>
      </c>
      <c r="AI3" s="9" t="s">
        <v>604</v>
      </c>
      <c r="AJ3" s="9" t="s">
        <v>605</v>
      </c>
      <c r="AK3" s="9" t="s">
        <v>606</v>
      </c>
      <c r="AL3" s="9" t="s">
        <v>647</v>
      </c>
      <c r="AM3" s="9" t="s">
        <v>648</v>
      </c>
      <c r="AN3" s="9" t="s">
        <v>649</v>
      </c>
      <c r="AO3" s="9" t="s">
        <v>935</v>
      </c>
      <c r="AP3" s="9" t="s">
        <v>586</v>
      </c>
      <c r="AQ3" s="9" t="s">
        <v>587</v>
      </c>
      <c r="AR3" s="9" t="s">
        <v>533</v>
      </c>
      <c r="AS3" s="9" t="s">
        <v>536</v>
      </c>
      <c r="AT3" s="9" t="s">
        <v>576</v>
      </c>
      <c r="AU3" s="9" t="s">
        <v>577</v>
      </c>
    </row>
    <row r="4" spans="1:47" s="9" customFormat="1" ht="15" x14ac:dyDescent="0.25">
      <c r="A4" s="54">
        <v>364</v>
      </c>
      <c r="B4" s="9" t="s">
        <v>96</v>
      </c>
      <c r="C4" s="9" t="s">
        <v>80</v>
      </c>
      <c r="D4" s="9" t="s">
        <v>581</v>
      </c>
      <c r="E4" s="9" t="s">
        <v>65</v>
      </c>
      <c r="F4" s="9" t="s">
        <v>35</v>
      </c>
      <c r="G4" s="57">
        <v>46168</v>
      </c>
      <c r="H4" s="9" t="s">
        <v>114</v>
      </c>
      <c r="I4" s="9" t="s">
        <v>37</v>
      </c>
      <c r="J4" s="9" t="s">
        <v>37</v>
      </c>
      <c r="K4" s="54" t="s">
        <v>581</v>
      </c>
      <c r="L4" s="9" t="s">
        <v>697</v>
      </c>
      <c r="M4" s="9" t="s">
        <v>697</v>
      </c>
      <c r="N4" s="9" t="s">
        <v>697</v>
      </c>
      <c r="O4" s="9" t="s">
        <v>64</v>
      </c>
      <c r="P4" s="9" t="s">
        <v>65</v>
      </c>
      <c r="Q4" s="9" t="s">
        <v>283</v>
      </c>
      <c r="R4" s="57">
        <v>46168</v>
      </c>
      <c r="S4" s="9" t="s">
        <v>284</v>
      </c>
      <c r="T4" s="57">
        <v>46262</v>
      </c>
      <c r="U4" s="9" t="s">
        <v>697</v>
      </c>
      <c r="V4" s="57">
        <v>46188</v>
      </c>
      <c r="Y4" s="9" t="s">
        <v>721</v>
      </c>
      <c r="Z4" s="9" t="s">
        <v>70</v>
      </c>
      <c r="AA4" s="9" t="s">
        <v>219</v>
      </c>
      <c r="AB4" s="9" t="s">
        <v>697</v>
      </c>
      <c r="AC4" s="9" t="s">
        <v>697</v>
      </c>
      <c r="AD4" s="9" t="s">
        <v>53</v>
      </c>
      <c r="AE4" s="57">
        <v>46262</v>
      </c>
      <c r="AF4" s="9" t="s">
        <v>71</v>
      </c>
      <c r="AG4" s="57">
        <v>46262</v>
      </c>
      <c r="AH4" s="9" t="s">
        <v>71</v>
      </c>
      <c r="AI4" s="9">
        <v>100</v>
      </c>
      <c r="AJ4" s="9">
        <v>100</v>
      </c>
      <c r="AK4" s="9">
        <v>100</v>
      </c>
      <c r="AL4" s="9" t="s">
        <v>697</v>
      </c>
      <c r="AN4" s="9" t="s">
        <v>697</v>
      </c>
      <c r="AO4" s="9" t="s">
        <v>937</v>
      </c>
      <c r="AP4" s="9">
        <v>97</v>
      </c>
      <c r="AQ4" s="9" t="s">
        <v>591</v>
      </c>
      <c r="AR4" s="9" t="s">
        <v>535</v>
      </c>
      <c r="AS4" s="9" t="s">
        <v>537</v>
      </c>
      <c r="AT4" s="9" t="e">
        <v>#VALUE!</v>
      </c>
      <c r="AU4" s="9">
        <v>94</v>
      </c>
    </row>
    <row r="5" spans="1:47" s="9" customFormat="1" ht="15" x14ac:dyDescent="0.25">
      <c r="A5" s="54">
        <v>566</v>
      </c>
      <c r="B5" s="9" t="s">
        <v>43</v>
      </c>
      <c r="C5" s="9" t="s">
        <v>14</v>
      </c>
      <c r="D5" s="9" t="s">
        <v>579</v>
      </c>
      <c r="E5" s="9" t="s">
        <v>85</v>
      </c>
      <c r="F5" s="9" t="s">
        <v>35</v>
      </c>
      <c r="G5" s="57">
        <v>46184</v>
      </c>
      <c r="H5" s="9" t="s">
        <v>88</v>
      </c>
      <c r="I5" s="9" t="s">
        <v>37</v>
      </c>
      <c r="J5" s="9" t="s">
        <v>156</v>
      </c>
      <c r="K5" s="54" t="s">
        <v>579</v>
      </c>
      <c r="L5" s="9" t="s">
        <v>697</v>
      </c>
      <c r="M5" s="9" t="s">
        <v>697</v>
      </c>
      <c r="N5" s="9" t="s">
        <v>874</v>
      </c>
      <c r="O5" s="9" t="s">
        <v>64</v>
      </c>
      <c r="P5" s="9" t="s">
        <v>85</v>
      </c>
      <c r="Q5" s="9" t="s">
        <v>301</v>
      </c>
      <c r="R5" s="57">
        <v>46189</v>
      </c>
      <c r="S5" s="9" t="s">
        <v>691</v>
      </c>
      <c r="T5" s="57">
        <v>46252</v>
      </c>
      <c r="U5" s="9" t="s">
        <v>697</v>
      </c>
      <c r="V5" s="57">
        <v>46203</v>
      </c>
      <c r="Y5" s="9" t="s">
        <v>72</v>
      </c>
      <c r="Z5" s="9" t="s">
        <v>546</v>
      </c>
      <c r="AA5" s="9" t="s">
        <v>302</v>
      </c>
      <c r="AB5" s="9" t="s">
        <v>88</v>
      </c>
      <c r="AC5" s="9" t="s">
        <v>697</v>
      </c>
      <c r="AD5" s="9" t="s">
        <v>53</v>
      </c>
      <c r="AE5" s="57">
        <v>46252</v>
      </c>
      <c r="AF5" s="9" t="s">
        <v>214</v>
      </c>
      <c r="AG5" s="57">
        <v>46252</v>
      </c>
      <c r="AH5" s="9" t="s">
        <v>214</v>
      </c>
      <c r="AI5" s="9">
        <v>100</v>
      </c>
      <c r="AJ5" s="9">
        <v>100</v>
      </c>
      <c r="AK5" s="9">
        <v>100</v>
      </c>
      <c r="AL5" s="9" t="s">
        <v>697</v>
      </c>
      <c r="AN5" s="9" t="s">
        <v>697</v>
      </c>
      <c r="AO5" s="9" t="s">
        <v>938</v>
      </c>
      <c r="AP5" s="9">
        <v>81</v>
      </c>
      <c r="AQ5" s="9" t="s">
        <v>591</v>
      </c>
      <c r="AR5" s="9" t="s">
        <v>535</v>
      </c>
      <c r="AS5" s="9" t="s">
        <v>537</v>
      </c>
      <c r="AT5" s="9" t="e">
        <v>#VALUE!</v>
      </c>
      <c r="AU5" s="9">
        <v>63</v>
      </c>
    </row>
    <row r="6" spans="1:47" s="9" customFormat="1" ht="15" x14ac:dyDescent="0.25">
      <c r="A6" s="54">
        <v>670</v>
      </c>
      <c r="B6" s="9" t="s">
        <v>74</v>
      </c>
      <c r="C6" s="9" t="s">
        <v>102</v>
      </c>
      <c r="D6" s="9" t="s">
        <v>581</v>
      </c>
      <c r="E6" s="9" t="s">
        <v>163</v>
      </c>
      <c r="F6" s="9" t="s">
        <v>35</v>
      </c>
      <c r="G6" s="57">
        <v>46084</v>
      </c>
      <c r="H6" s="9" t="s">
        <v>113</v>
      </c>
      <c r="I6" s="9" t="s">
        <v>37</v>
      </c>
      <c r="J6" s="9" t="s">
        <v>37</v>
      </c>
      <c r="K6" s="54" t="s">
        <v>581</v>
      </c>
      <c r="L6" s="9" t="s">
        <v>697</v>
      </c>
      <c r="M6" s="9" t="s">
        <v>702</v>
      </c>
      <c r="N6" s="9" t="s">
        <v>697</v>
      </c>
      <c r="O6" s="9" t="s">
        <v>57</v>
      </c>
      <c r="P6" s="9" t="s">
        <v>163</v>
      </c>
      <c r="Q6" s="9" t="s">
        <v>164</v>
      </c>
      <c r="R6" s="57">
        <v>46191</v>
      </c>
      <c r="S6" s="9" t="s">
        <v>165</v>
      </c>
      <c r="T6" s="57">
        <v>46251</v>
      </c>
      <c r="U6" s="9" t="s">
        <v>619</v>
      </c>
      <c r="V6" s="57">
        <v>46234</v>
      </c>
      <c r="Y6" s="9" t="s">
        <v>77</v>
      </c>
      <c r="Z6" s="9" t="s">
        <v>219</v>
      </c>
      <c r="AA6" s="9" t="s">
        <v>697</v>
      </c>
      <c r="AB6" s="9" t="s">
        <v>113</v>
      </c>
      <c r="AC6" s="9" t="s">
        <v>42</v>
      </c>
      <c r="AD6" s="9" t="s">
        <v>53</v>
      </c>
      <c r="AE6" s="57">
        <v>46259</v>
      </c>
      <c r="AF6" s="9" t="s">
        <v>93</v>
      </c>
      <c r="AG6" s="57">
        <v>46251</v>
      </c>
      <c r="AH6" s="9" t="s">
        <v>114</v>
      </c>
      <c r="AI6" s="9">
        <v>100</v>
      </c>
      <c r="AJ6" s="9">
        <v>100</v>
      </c>
      <c r="AK6" s="9">
        <v>100</v>
      </c>
      <c r="AL6" s="9" t="s">
        <v>697</v>
      </c>
      <c r="AN6" s="9" t="s">
        <v>697</v>
      </c>
      <c r="AO6" s="9" t="s">
        <v>939</v>
      </c>
      <c r="AP6" s="9">
        <v>181</v>
      </c>
      <c r="AQ6" s="9" t="s">
        <v>591</v>
      </c>
      <c r="AR6" s="9" t="s">
        <v>535</v>
      </c>
      <c r="AS6" s="9" t="s">
        <v>537</v>
      </c>
      <c r="AT6" s="9" t="e">
        <v>#VALUE!</v>
      </c>
      <c r="AU6" s="9">
        <v>60</v>
      </c>
    </row>
    <row r="7" spans="1:47" s="9" customFormat="1" ht="15" x14ac:dyDescent="0.25">
      <c r="A7" s="54">
        <v>893</v>
      </c>
      <c r="B7" s="9" t="s">
        <v>43</v>
      </c>
      <c r="C7" s="9" t="s">
        <v>14</v>
      </c>
      <c r="D7" s="9" t="s">
        <v>579</v>
      </c>
      <c r="E7" s="9" t="s">
        <v>97</v>
      </c>
      <c r="F7" s="9" t="s">
        <v>35</v>
      </c>
      <c r="G7" s="57">
        <v>46225</v>
      </c>
      <c r="H7" s="9" t="s">
        <v>44</v>
      </c>
      <c r="I7" s="9" t="s">
        <v>37</v>
      </c>
      <c r="J7" s="9" t="s">
        <v>156</v>
      </c>
      <c r="K7" s="54" t="s">
        <v>579</v>
      </c>
      <c r="L7" s="9" t="s">
        <v>697</v>
      </c>
      <c r="M7" s="9" t="s">
        <v>697</v>
      </c>
      <c r="N7" s="9" t="s">
        <v>794</v>
      </c>
      <c r="O7" s="9" t="s">
        <v>64</v>
      </c>
      <c r="P7" s="9" t="s">
        <v>97</v>
      </c>
      <c r="Q7" s="9" t="s">
        <v>175</v>
      </c>
      <c r="R7" s="57">
        <v>46225</v>
      </c>
      <c r="S7" s="9" t="s">
        <v>639</v>
      </c>
      <c r="T7" s="57">
        <v>46252</v>
      </c>
      <c r="U7" s="9" t="s">
        <v>697</v>
      </c>
      <c r="V7" s="57">
        <v>46254</v>
      </c>
      <c r="W7" s="57">
        <v>46305</v>
      </c>
      <c r="Y7" s="9" t="s">
        <v>170</v>
      </c>
      <c r="Z7" s="9" t="s">
        <v>546</v>
      </c>
      <c r="AA7" s="9" t="s">
        <v>176</v>
      </c>
      <c r="AB7" s="9" t="s">
        <v>44</v>
      </c>
      <c r="AC7" s="9" t="s">
        <v>42</v>
      </c>
      <c r="AD7" s="9" t="s">
        <v>53</v>
      </c>
      <c r="AE7" s="57">
        <v>46252</v>
      </c>
      <c r="AF7" s="9" t="s">
        <v>214</v>
      </c>
      <c r="AG7" s="57">
        <v>46252</v>
      </c>
      <c r="AH7" s="9" t="s">
        <v>214</v>
      </c>
      <c r="AI7" s="9">
        <v>100</v>
      </c>
      <c r="AJ7" s="9">
        <v>100</v>
      </c>
      <c r="AK7" s="9">
        <v>100</v>
      </c>
      <c r="AL7" s="9" t="s">
        <v>697</v>
      </c>
      <c r="AN7" s="9" t="s">
        <v>697</v>
      </c>
      <c r="AO7" s="9" t="s">
        <v>944</v>
      </c>
      <c r="AP7" s="9">
        <v>40</v>
      </c>
      <c r="AQ7" s="9" t="s">
        <v>591</v>
      </c>
      <c r="AR7" s="9" t="s">
        <v>535</v>
      </c>
      <c r="AS7" s="9" t="s">
        <v>537</v>
      </c>
      <c r="AT7" s="9" t="e">
        <v>#VALUE!</v>
      </c>
      <c r="AU7" s="9">
        <v>27</v>
      </c>
    </row>
    <row r="8" spans="1:47" s="9" customFormat="1" ht="15" x14ac:dyDescent="0.25">
      <c r="A8" s="56">
        <v>670</v>
      </c>
      <c r="B8" s="56" t="s">
        <v>34</v>
      </c>
      <c r="C8" s="56" t="s">
        <v>102</v>
      </c>
      <c r="D8" s="56" t="s">
        <v>582</v>
      </c>
      <c r="E8" s="56" t="s">
        <v>163</v>
      </c>
      <c r="F8" s="9" t="s">
        <v>78</v>
      </c>
      <c r="G8" s="57">
        <v>46084</v>
      </c>
      <c r="H8" s="9" t="s">
        <v>113</v>
      </c>
      <c r="I8" s="9" t="s">
        <v>37</v>
      </c>
      <c r="J8" s="9" t="s">
        <v>156</v>
      </c>
      <c r="K8" s="9" t="s">
        <v>581</v>
      </c>
      <c r="L8" s="9" t="s">
        <v>162</v>
      </c>
      <c r="M8" s="9" t="s">
        <v>702</v>
      </c>
      <c r="N8" s="9" t="s">
        <v>697</v>
      </c>
      <c r="O8" s="9" t="s">
        <v>57</v>
      </c>
      <c r="P8" s="9" t="s">
        <v>163</v>
      </c>
      <c r="Q8" s="9" t="s">
        <v>164</v>
      </c>
      <c r="R8" s="57">
        <v>46226</v>
      </c>
      <c r="S8" s="9" t="s">
        <v>636</v>
      </c>
      <c r="U8" s="9" t="s">
        <v>697</v>
      </c>
      <c r="V8" s="57">
        <v>46265</v>
      </c>
      <c r="W8" s="57">
        <v>46248</v>
      </c>
      <c r="Y8" s="9" t="s">
        <v>108</v>
      </c>
      <c r="Z8" s="9" t="s">
        <v>697</v>
      </c>
      <c r="AA8" s="9" t="s">
        <v>697</v>
      </c>
      <c r="AB8" s="9" t="s">
        <v>113</v>
      </c>
      <c r="AC8" s="9" t="s">
        <v>42</v>
      </c>
      <c r="AD8" s="9" t="s">
        <v>53</v>
      </c>
      <c r="AE8" s="57">
        <v>46259</v>
      </c>
      <c r="AF8" s="9" t="s">
        <v>93</v>
      </c>
      <c r="AG8" s="57">
        <v>46248</v>
      </c>
      <c r="AH8" s="9" t="s">
        <v>114</v>
      </c>
      <c r="AI8" s="9">
        <v>100</v>
      </c>
      <c r="AJ8" s="9">
        <v>100</v>
      </c>
      <c r="AK8" s="9">
        <v>50</v>
      </c>
      <c r="AL8" s="9" t="s">
        <v>669</v>
      </c>
      <c r="AN8" s="9" t="s">
        <v>697</v>
      </c>
      <c r="AO8" s="9" t="s">
        <v>939</v>
      </c>
      <c r="AP8" s="9">
        <v>181</v>
      </c>
      <c r="AQ8" s="9" t="s">
        <v>591</v>
      </c>
      <c r="AR8" s="9" t="s">
        <v>534</v>
      </c>
      <c r="AS8" s="9" t="s">
        <v>536</v>
      </c>
      <c r="AT8" s="9" t="e">
        <v>#VALUE!</v>
      </c>
      <c r="AU8" s="9">
        <v>39</v>
      </c>
    </row>
    <row r="9" spans="1:47" s="9" customFormat="1" ht="15" x14ac:dyDescent="0.25">
      <c r="A9" s="56">
        <v>898</v>
      </c>
      <c r="B9" s="56" t="s">
        <v>43</v>
      </c>
      <c r="C9" s="56" t="s">
        <v>14</v>
      </c>
      <c r="D9" s="56" t="s">
        <v>579</v>
      </c>
      <c r="E9" s="56" t="s">
        <v>76</v>
      </c>
      <c r="F9" s="9" t="s">
        <v>35</v>
      </c>
      <c r="G9" s="57">
        <v>46225</v>
      </c>
      <c r="H9" s="9" t="s">
        <v>88</v>
      </c>
      <c r="I9" s="9" t="s">
        <v>37</v>
      </c>
      <c r="J9" s="9" t="s">
        <v>156</v>
      </c>
      <c r="K9" s="9" t="e">
        <v>#N/A</v>
      </c>
      <c r="L9" s="9" t="s">
        <v>697</v>
      </c>
      <c r="M9" s="9" t="s">
        <v>697</v>
      </c>
      <c r="N9" s="9" t="s">
        <v>704</v>
      </c>
      <c r="O9" s="9" t="s">
        <v>39</v>
      </c>
      <c r="P9" s="9" t="s">
        <v>76</v>
      </c>
      <c r="Q9" s="9" t="s">
        <v>178</v>
      </c>
      <c r="R9" s="57">
        <v>46226</v>
      </c>
      <c r="S9" s="9" t="s">
        <v>181</v>
      </c>
      <c r="T9" s="57">
        <v>46258</v>
      </c>
      <c r="U9" s="9" t="s">
        <v>697</v>
      </c>
      <c r="V9" s="57">
        <v>46356</v>
      </c>
      <c r="Y9" s="9" t="s">
        <v>72</v>
      </c>
      <c r="Z9" s="9" t="s">
        <v>82</v>
      </c>
      <c r="AA9" s="9" t="s">
        <v>180</v>
      </c>
      <c r="AB9" s="9" t="s">
        <v>106</v>
      </c>
      <c r="AC9" s="9" t="s">
        <v>42</v>
      </c>
      <c r="AD9" s="9" t="s">
        <v>53</v>
      </c>
      <c r="AE9" s="57">
        <v>46258</v>
      </c>
      <c r="AF9" s="9" t="s">
        <v>83</v>
      </c>
      <c r="AG9" s="57">
        <v>46258</v>
      </c>
      <c r="AH9" s="9" t="s">
        <v>83</v>
      </c>
      <c r="AI9" s="9">
        <v>100</v>
      </c>
      <c r="AJ9" s="9">
        <v>100</v>
      </c>
      <c r="AK9" s="9">
        <v>100</v>
      </c>
      <c r="AL9" s="9" t="s">
        <v>697</v>
      </c>
      <c r="AN9" s="9" t="s">
        <v>697</v>
      </c>
      <c r="AO9" s="9" t="s">
        <v>943</v>
      </c>
      <c r="AP9" s="9">
        <v>40</v>
      </c>
      <c r="AQ9" s="9" t="s">
        <v>591</v>
      </c>
      <c r="AR9" s="9" t="s">
        <v>534</v>
      </c>
      <c r="AS9" s="9" t="s">
        <v>536</v>
      </c>
      <c r="AT9" s="9" t="e">
        <v>#VALUE!</v>
      </c>
      <c r="AU9" s="9">
        <v>32</v>
      </c>
    </row>
    <row r="10" spans="1:47" s="9" customFormat="1" ht="15" x14ac:dyDescent="0.25">
      <c r="A10" s="54">
        <v>980</v>
      </c>
      <c r="B10" s="9" t="s">
        <v>43</v>
      </c>
      <c r="C10" s="9" t="s">
        <v>80</v>
      </c>
      <c r="D10" s="9" t="s">
        <v>579</v>
      </c>
      <c r="E10" s="9" t="s">
        <v>85</v>
      </c>
      <c r="F10" s="9" t="s">
        <v>35</v>
      </c>
      <c r="G10" s="57">
        <v>46241</v>
      </c>
      <c r="H10" s="9" t="s">
        <v>44</v>
      </c>
      <c r="I10" s="9" t="s">
        <v>37</v>
      </c>
      <c r="J10" s="9" t="s">
        <v>37</v>
      </c>
      <c r="K10" s="54" t="s">
        <v>579</v>
      </c>
      <c r="L10" s="9" t="s">
        <v>697</v>
      </c>
      <c r="M10" s="9" t="s">
        <v>697</v>
      </c>
      <c r="N10" s="9" t="s">
        <v>706</v>
      </c>
      <c r="O10" s="9" t="s">
        <v>64</v>
      </c>
      <c r="P10" s="9" t="s">
        <v>85</v>
      </c>
      <c r="Q10" s="9" t="s">
        <v>206</v>
      </c>
      <c r="R10" s="57">
        <v>46245</v>
      </c>
      <c r="S10" s="9" t="s">
        <v>207</v>
      </c>
      <c r="T10" s="57">
        <v>46247</v>
      </c>
      <c r="U10" s="9" t="s">
        <v>607</v>
      </c>
      <c r="V10" s="57">
        <v>46255</v>
      </c>
      <c r="W10" s="57">
        <v>46255</v>
      </c>
      <c r="Y10" s="9" t="s">
        <v>72</v>
      </c>
      <c r="Z10" s="9" t="s">
        <v>94</v>
      </c>
      <c r="AA10" s="9" t="s">
        <v>208</v>
      </c>
      <c r="AB10" s="9" t="s">
        <v>44</v>
      </c>
      <c r="AC10" s="9" t="s">
        <v>42</v>
      </c>
      <c r="AD10" s="9" t="s">
        <v>53</v>
      </c>
      <c r="AE10" s="57">
        <v>46247</v>
      </c>
      <c r="AF10" s="9" t="s">
        <v>72</v>
      </c>
      <c r="AG10" s="57">
        <v>46247</v>
      </c>
      <c r="AH10" s="9" t="s">
        <v>72</v>
      </c>
      <c r="AI10" s="9">
        <v>100</v>
      </c>
      <c r="AJ10" s="9">
        <v>100</v>
      </c>
      <c r="AK10" s="9">
        <v>100</v>
      </c>
      <c r="AL10" s="9" t="s">
        <v>697</v>
      </c>
      <c r="AN10" s="9" t="s">
        <v>697</v>
      </c>
      <c r="AO10" s="9" t="s">
        <v>938</v>
      </c>
      <c r="AP10" s="9">
        <v>24</v>
      </c>
      <c r="AQ10" s="9" t="s">
        <v>592</v>
      </c>
      <c r="AR10" s="9" t="s">
        <v>535</v>
      </c>
      <c r="AS10" s="9" t="s">
        <v>537</v>
      </c>
      <c r="AT10" s="9" t="e">
        <v>#VALUE!</v>
      </c>
      <c r="AU10" s="9">
        <v>2</v>
      </c>
    </row>
    <row r="11" spans="1:47" s="9" customFormat="1" ht="15" x14ac:dyDescent="0.25">
      <c r="A11" s="54">
        <v>986</v>
      </c>
      <c r="B11" s="9" t="s">
        <v>43</v>
      </c>
      <c r="C11" s="9" t="s">
        <v>80</v>
      </c>
      <c r="D11" s="9" t="s">
        <v>579</v>
      </c>
      <c r="E11" s="9" t="s">
        <v>120</v>
      </c>
      <c r="F11" s="9" t="s">
        <v>35</v>
      </c>
      <c r="G11" s="57">
        <v>46244</v>
      </c>
      <c r="H11" s="9" t="s">
        <v>44</v>
      </c>
      <c r="I11" s="9" t="s">
        <v>37</v>
      </c>
      <c r="J11" s="9" t="s">
        <v>37</v>
      </c>
      <c r="K11" s="54" t="s">
        <v>579</v>
      </c>
      <c r="L11" s="9" t="s">
        <v>697</v>
      </c>
      <c r="M11" s="9" t="s">
        <v>697</v>
      </c>
      <c r="N11" s="9" t="s">
        <v>708</v>
      </c>
      <c r="O11" s="9" t="s">
        <v>39</v>
      </c>
      <c r="P11" s="9" t="s">
        <v>120</v>
      </c>
      <c r="Q11" s="9" t="s">
        <v>209</v>
      </c>
      <c r="R11" s="57">
        <v>46245</v>
      </c>
      <c r="S11" s="9" t="s">
        <v>210</v>
      </c>
      <c r="T11" s="57">
        <v>46247</v>
      </c>
      <c r="U11" s="9" t="s">
        <v>697</v>
      </c>
      <c r="V11" s="57">
        <v>46259</v>
      </c>
      <c r="W11" s="57">
        <v>46275</v>
      </c>
      <c r="Y11" s="9" t="s">
        <v>72</v>
      </c>
      <c r="Z11" s="9" t="s">
        <v>94</v>
      </c>
      <c r="AA11" s="9" t="s">
        <v>211</v>
      </c>
      <c r="AB11" s="9" t="s">
        <v>44</v>
      </c>
      <c r="AC11" s="9" t="s">
        <v>42</v>
      </c>
      <c r="AD11" s="9" t="s">
        <v>53</v>
      </c>
      <c r="AE11" s="57">
        <v>46247</v>
      </c>
      <c r="AF11" s="9" t="s">
        <v>72</v>
      </c>
      <c r="AG11" s="57">
        <v>46247</v>
      </c>
      <c r="AH11" s="9" t="s">
        <v>72</v>
      </c>
      <c r="AI11" s="9">
        <v>100</v>
      </c>
      <c r="AJ11" s="9">
        <v>100</v>
      </c>
      <c r="AK11" s="9">
        <v>100</v>
      </c>
      <c r="AL11" s="9" t="s">
        <v>697</v>
      </c>
      <c r="AN11" s="9" t="s">
        <v>697</v>
      </c>
      <c r="AO11" s="9" t="s">
        <v>943</v>
      </c>
      <c r="AP11" s="9">
        <v>21</v>
      </c>
      <c r="AQ11" s="9" t="s">
        <v>592</v>
      </c>
      <c r="AR11" s="9" t="s">
        <v>535</v>
      </c>
      <c r="AS11" s="9" t="s">
        <v>536</v>
      </c>
      <c r="AT11" s="9" t="e">
        <v>#VALUE!</v>
      </c>
      <c r="AU11" s="9">
        <v>2</v>
      </c>
    </row>
    <row r="12" spans="1:47" s="9" customFormat="1" ht="15" x14ac:dyDescent="0.25">
      <c r="A12" s="55">
        <v>1009</v>
      </c>
      <c r="B12" s="56" t="s">
        <v>43</v>
      </c>
      <c r="C12" s="56" t="s">
        <v>14</v>
      </c>
      <c r="D12" s="56" t="s">
        <v>579</v>
      </c>
      <c r="E12" s="56" t="s">
        <v>213</v>
      </c>
      <c r="F12" s="9" t="s">
        <v>35</v>
      </c>
      <c r="G12" s="57">
        <v>46247</v>
      </c>
      <c r="H12" s="9" t="s">
        <v>88</v>
      </c>
      <c r="I12" s="9" t="s">
        <v>37</v>
      </c>
      <c r="J12" s="9" t="s">
        <v>156</v>
      </c>
      <c r="K12" s="54" t="s">
        <v>579</v>
      </c>
      <c r="L12" s="9" t="s">
        <v>697</v>
      </c>
      <c r="M12" s="9" t="s">
        <v>697</v>
      </c>
      <c r="N12" s="9" t="s">
        <v>740</v>
      </c>
      <c r="O12" s="9" t="s">
        <v>39</v>
      </c>
      <c r="P12" s="9" t="s">
        <v>213</v>
      </c>
      <c r="Q12" s="9" t="s">
        <v>626</v>
      </c>
      <c r="R12" s="57">
        <v>46247</v>
      </c>
      <c r="S12" s="9" t="s">
        <v>627</v>
      </c>
      <c r="T12" s="57">
        <v>46255</v>
      </c>
      <c r="U12" s="9" t="s">
        <v>697</v>
      </c>
      <c r="V12" s="57">
        <v>46259</v>
      </c>
      <c r="Y12" s="9" t="s">
        <v>72</v>
      </c>
      <c r="Z12" s="9" t="s">
        <v>82</v>
      </c>
      <c r="AA12" s="9" t="s">
        <v>628</v>
      </c>
      <c r="AB12" s="9" t="s">
        <v>88</v>
      </c>
      <c r="AC12" s="9" t="s">
        <v>42</v>
      </c>
      <c r="AD12" s="9" t="s">
        <v>53</v>
      </c>
      <c r="AE12" s="57">
        <v>46255</v>
      </c>
      <c r="AF12" s="9" t="s">
        <v>83</v>
      </c>
      <c r="AG12" s="57">
        <v>46255</v>
      </c>
      <c r="AH12" s="9" t="s">
        <v>83</v>
      </c>
      <c r="AI12" s="9">
        <v>100</v>
      </c>
      <c r="AJ12" s="9">
        <v>100</v>
      </c>
      <c r="AK12" s="9">
        <v>100</v>
      </c>
      <c r="AL12" s="9" t="s">
        <v>697</v>
      </c>
      <c r="AN12" s="9" t="s">
        <v>697</v>
      </c>
      <c r="AO12" s="9" t="s">
        <v>946</v>
      </c>
      <c r="AP12" s="9">
        <v>18</v>
      </c>
      <c r="AQ12" s="9" t="s">
        <v>592</v>
      </c>
      <c r="AR12" s="9" t="s">
        <v>535</v>
      </c>
      <c r="AS12" s="9" t="s">
        <v>536</v>
      </c>
      <c r="AT12" s="9" t="e">
        <v>#VALUE!</v>
      </c>
      <c r="AU12" s="9">
        <v>8</v>
      </c>
    </row>
    <row r="13" spans="1:47" s="9" customFormat="1" ht="15" x14ac:dyDescent="0.25">
      <c r="A13" s="56">
        <v>938</v>
      </c>
      <c r="B13" s="56" t="s">
        <v>43</v>
      </c>
      <c r="C13" s="56" t="s">
        <v>14</v>
      </c>
      <c r="D13" s="56" t="s">
        <v>579</v>
      </c>
      <c r="E13" s="56" t="s">
        <v>76</v>
      </c>
      <c r="F13" s="9" t="s">
        <v>35</v>
      </c>
      <c r="G13" s="57">
        <v>46227</v>
      </c>
      <c r="H13" s="9" t="s">
        <v>88</v>
      </c>
      <c r="I13" s="9" t="s">
        <v>37</v>
      </c>
      <c r="J13" s="9" t="s">
        <v>37</v>
      </c>
      <c r="K13" s="9" t="s">
        <v>579</v>
      </c>
      <c r="L13" s="9" t="s">
        <v>697</v>
      </c>
      <c r="M13" s="9" t="s">
        <v>697</v>
      </c>
      <c r="N13" s="9" t="s">
        <v>704</v>
      </c>
      <c r="O13" s="9" t="s">
        <v>39</v>
      </c>
      <c r="P13" s="9" t="s">
        <v>76</v>
      </c>
      <c r="Q13" s="9" t="s">
        <v>188</v>
      </c>
      <c r="R13" s="57">
        <v>46233</v>
      </c>
      <c r="S13" s="9" t="s">
        <v>188</v>
      </c>
      <c r="T13" s="57">
        <v>46255</v>
      </c>
      <c r="U13" s="9" t="s">
        <v>697</v>
      </c>
      <c r="V13" s="57">
        <v>46295</v>
      </c>
      <c r="W13" s="57">
        <v>46265</v>
      </c>
      <c r="Y13" s="9" t="s">
        <v>72</v>
      </c>
      <c r="Z13" s="9" t="s">
        <v>82</v>
      </c>
      <c r="AA13" s="9" t="s">
        <v>697</v>
      </c>
      <c r="AB13" s="9" t="s">
        <v>106</v>
      </c>
      <c r="AC13" s="9" t="s">
        <v>42</v>
      </c>
      <c r="AD13" s="9" t="s">
        <v>53</v>
      </c>
      <c r="AE13" s="57">
        <v>46255</v>
      </c>
      <c r="AF13" s="9" t="s">
        <v>83</v>
      </c>
      <c r="AG13" s="57">
        <v>46255</v>
      </c>
      <c r="AH13" s="9" t="s">
        <v>83</v>
      </c>
      <c r="AI13" s="9">
        <v>100</v>
      </c>
      <c r="AJ13" s="9">
        <v>100</v>
      </c>
      <c r="AK13" s="9">
        <v>100</v>
      </c>
      <c r="AL13" s="9" t="s">
        <v>697</v>
      </c>
      <c r="AN13" s="9" t="s">
        <v>697</v>
      </c>
      <c r="AO13" s="9" t="s">
        <v>943</v>
      </c>
      <c r="AP13" s="9">
        <v>38</v>
      </c>
      <c r="AQ13" s="9" t="s">
        <v>591</v>
      </c>
      <c r="AR13" s="9" t="s">
        <v>534</v>
      </c>
      <c r="AS13" s="9" t="s">
        <v>536</v>
      </c>
      <c r="AT13" s="9" t="s">
        <v>42</v>
      </c>
      <c r="AU13" s="9">
        <v>22</v>
      </c>
    </row>
    <row r="14" spans="1:47" s="9" customFormat="1" ht="15" x14ac:dyDescent="0.25">
      <c r="A14" s="56">
        <v>1008</v>
      </c>
      <c r="B14" s="56" t="s">
        <v>43</v>
      </c>
      <c r="C14" s="56" t="s">
        <v>14</v>
      </c>
      <c r="D14" s="56" t="s">
        <v>579</v>
      </c>
      <c r="E14" s="56" t="s">
        <v>418</v>
      </c>
      <c r="F14" s="9" t="s">
        <v>35</v>
      </c>
      <c r="G14" s="57">
        <v>46246</v>
      </c>
      <c r="H14" s="9" t="s">
        <v>88</v>
      </c>
      <c r="I14" s="9" t="s">
        <v>37</v>
      </c>
      <c r="J14" s="9" t="s">
        <v>156</v>
      </c>
      <c r="K14" s="9" t="s">
        <v>579</v>
      </c>
      <c r="L14" s="9" t="s">
        <v>622</v>
      </c>
      <c r="M14" s="9" t="s">
        <v>697</v>
      </c>
      <c r="N14" s="9" t="s">
        <v>738</v>
      </c>
      <c r="O14" s="9" t="s">
        <v>39</v>
      </c>
      <c r="P14" s="9" t="s">
        <v>418</v>
      </c>
      <c r="Q14" s="9" t="s">
        <v>623</v>
      </c>
      <c r="R14" s="57">
        <v>46247</v>
      </c>
      <c r="S14" s="9" t="s">
        <v>624</v>
      </c>
      <c r="U14" s="9" t="s">
        <v>697</v>
      </c>
      <c r="V14" s="57">
        <v>46265</v>
      </c>
      <c r="Y14" s="9" t="s">
        <v>72</v>
      </c>
      <c r="Z14" s="9" t="s">
        <v>697</v>
      </c>
      <c r="AA14" s="9" t="s">
        <v>625</v>
      </c>
      <c r="AB14" s="9" t="s">
        <v>697</v>
      </c>
      <c r="AC14" s="9" t="s">
        <v>42</v>
      </c>
      <c r="AD14" s="9" t="s">
        <v>53</v>
      </c>
      <c r="AE14" s="57">
        <v>46247</v>
      </c>
      <c r="AF14" s="9" t="s">
        <v>88</v>
      </c>
      <c r="AG14" s="57">
        <v>46247</v>
      </c>
      <c r="AH14" s="9" t="s">
        <v>88</v>
      </c>
      <c r="AI14" s="9">
        <v>100</v>
      </c>
      <c r="AJ14" s="9">
        <v>100</v>
      </c>
      <c r="AK14" s="9">
        <v>50</v>
      </c>
      <c r="AL14" s="9" t="s">
        <v>697</v>
      </c>
      <c r="AN14" s="9" t="s">
        <v>697</v>
      </c>
      <c r="AO14" s="9" t="s">
        <v>945</v>
      </c>
      <c r="AP14" s="9">
        <v>19</v>
      </c>
      <c r="AQ14" s="9" t="s">
        <v>592</v>
      </c>
      <c r="AR14" s="9" t="s">
        <v>534</v>
      </c>
      <c r="AS14" s="9" t="s">
        <v>536</v>
      </c>
      <c r="AT14" s="9" t="e">
        <v>#VALUE!</v>
      </c>
      <c r="AU14" s="9">
        <v>18</v>
      </c>
    </row>
    <row r="15" spans="1:47" s="9" customFormat="1" ht="15" x14ac:dyDescent="0.25">
      <c r="A15" s="56">
        <v>1016</v>
      </c>
      <c r="B15" s="56" t="s">
        <v>43</v>
      </c>
      <c r="C15" s="56" t="s">
        <v>102</v>
      </c>
      <c r="D15" s="56" t="s">
        <v>579</v>
      </c>
      <c r="E15" s="56" t="s">
        <v>166</v>
      </c>
      <c r="F15" s="9" t="s">
        <v>35</v>
      </c>
      <c r="G15" s="57">
        <v>46247</v>
      </c>
      <c r="H15" s="9" t="s">
        <v>49</v>
      </c>
      <c r="I15" s="9" t="s">
        <v>37</v>
      </c>
      <c r="J15" s="9" t="s">
        <v>37</v>
      </c>
      <c r="K15" s="9" t="s">
        <v>579</v>
      </c>
      <c r="L15" s="9" t="s">
        <v>697</v>
      </c>
      <c r="M15" s="9" t="s">
        <v>697</v>
      </c>
      <c r="N15" s="9" t="s">
        <v>700</v>
      </c>
      <c r="O15" s="9" t="s">
        <v>64</v>
      </c>
      <c r="P15" s="9" t="s">
        <v>166</v>
      </c>
      <c r="Q15" s="9" t="s">
        <v>616</v>
      </c>
      <c r="R15" s="57">
        <v>46248</v>
      </c>
      <c r="S15" s="9" t="s">
        <v>617</v>
      </c>
      <c r="T15" s="57">
        <v>46248</v>
      </c>
      <c r="U15" s="9" t="s">
        <v>618</v>
      </c>
      <c r="V15" s="57">
        <v>46276</v>
      </c>
      <c r="W15" s="57">
        <v>46266</v>
      </c>
      <c r="Y15" s="9" t="s">
        <v>72</v>
      </c>
      <c r="Z15" s="9" t="s">
        <v>94</v>
      </c>
      <c r="AA15" s="9" t="s">
        <v>697</v>
      </c>
      <c r="AB15" s="9" t="s">
        <v>447</v>
      </c>
      <c r="AC15" s="9" t="s">
        <v>42</v>
      </c>
      <c r="AD15" s="9" t="s">
        <v>53</v>
      </c>
      <c r="AE15" s="57">
        <v>46248</v>
      </c>
      <c r="AF15" s="9" t="s">
        <v>72</v>
      </c>
      <c r="AG15" s="57">
        <v>46248</v>
      </c>
      <c r="AH15" s="9" t="s">
        <v>72</v>
      </c>
      <c r="AI15" s="9">
        <v>100</v>
      </c>
      <c r="AJ15" s="9">
        <v>100</v>
      </c>
      <c r="AK15" s="9">
        <v>100</v>
      </c>
      <c r="AL15" s="9" t="s">
        <v>697</v>
      </c>
      <c r="AN15" s="9" t="s">
        <v>697</v>
      </c>
      <c r="AO15" s="9" t="s">
        <v>940</v>
      </c>
      <c r="AP15" s="9">
        <v>18</v>
      </c>
      <c r="AQ15" s="9" t="s">
        <v>592</v>
      </c>
      <c r="AR15" s="9" t="s">
        <v>534</v>
      </c>
      <c r="AS15" s="9" t="s">
        <v>536</v>
      </c>
      <c r="AT15" s="9" t="e">
        <v>#VALUE!</v>
      </c>
      <c r="AU15" s="9">
        <v>0</v>
      </c>
    </row>
    <row r="16" spans="1:47" s="9" customFormat="1" ht="15" x14ac:dyDescent="0.25">
      <c r="A16" s="56">
        <v>1043</v>
      </c>
      <c r="B16" s="56" t="s">
        <v>43</v>
      </c>
      <c r="C16" s="56" t="s">
        <v>80</v>
      </c>
      <c r="D16" s="56" t="s">
        <v>580</v>
      </c>
      <c r="E16" s="56" t="s">
        <v>120</v>
      </c>
      <c r="F16" s="9" t="s">
        <v>35</v>
      </c>
      <c r="G16" s="57">
        <v>46253</v>
      </c>
      <c r="H16" s="9" t="s">
        <v>44</v>
      </c>
      <c r="I16" s="9" t="s">
        <v>37</v>
      </c>
      <c r="J16" s="9" t="s">
        <v>156</v>
      </c>
      <c r="K16" s="9" t="s">
        <v>580</v>
      </c>
      <c r="L16" s="9" t="s">
        <v>233</v>
      </c>
      <c r="M16" s="9" t="s">
        <v>697</v>
      </c>
      <c r="N16" s="9" t="s">
        <v>751</v>
      </c>
      <c r="O16" s="9" t="s">
        <v>39</v>
      </c>
      <c r="P16" s="9" t="s">
        <v>120</v>
      </c>
      <c r="Q16" s="9" t="s">
        <v>660</v>
      </c>
      <c r="R16" s="57">
        <v>46255</v>
      </c>
      <c r="S16" s="9" t="s">
        <v>661</v>
      </c>
      <c r="U16" s="9" t="s">
        <v>697</v>
      </c>
      <c r="V16" s="57">
        <v>46265</v>
      </c>
      <c r="Y16" s="9" t="s">
        <v>66</v>
      </c>
      <c r="Z16" s="9" t="s">
        <v>697</v>
      </c>
      <c r="AA16" s="9" t="s">
        <v>662</v>
      </c>
      <c r="AB16" s="9" t="s">
        <v>44</v>
      </c>
      <c r="AC16" s="9" t="s">
        <v>42</v>
      </c>
      <c r="AD16" s="9" t="s">
        <v>53</v>
      </c>
      <c r="AE16" s="57">
        <v>46255</v>
      </c>
      <c r="AF16" s="9" t="s">
        <v>71</v>
      </c>
      <c r="AG16" s="57">
        <v>46255</v>
      </c>
      <c r="AH16" s="9" t="s">
        <v>71</v>
      </c>
      <c r="AI16" s="9">
        <v>100</v>
      </c>
      <c r="AJ16" s="9">
        <v>100</v>
      </c>
      <c r="AK16" s="9">
        <v>50</v>
      </c>
      <c r="AL16" s="9" t="s">
        <v>663</v>
      </c>
      <c r="AN16" s="9" t="s">
        <v>303</v>
      </c>
      <c r="AO16" s="9" t="s">
        <v>943</v>
      </c>
      <c r="AP16" s="9">
        <v>12</v>
      </c>
      <c r="AQ16" s="9" t="s">
        <v>593</v>
      </c>
      <c r="AR16" s="9" t="s">
        <v>534</v>
      </c>
      <c r="AS16" s="9" t="s">
        <v>536</v>
      </c>
      <c r="AT16" s="9" t="e">
        <v>#VALUE!</v>
      </c>
      <c r="AU16" s="9">
        <v>10</v>
      </c>
    </row>
    <row r="17" spans="1:47" s="9" customFormat="1" ht="15" x14ac:dyDescent="0.25">
      <c r="A17" s="56">
        <v>1066</v>
      </c>
      <c r="B17" s="56" t="s">
        <v>43</v>
      </c>
      <c r="C17" s="56" t="s">
        <v>102</v>
      </c>
      <c r="D17" s="56" t="s">
        <v>580</v>
      </c>
      <c r="E17" s="56" t="s">
        <v>107</v>
      </c>
      <c r="F17" s="9" t="s">
        <v>35</v>
      </c>
      <c r="G17" s="57">
        <v>46254</v>
      </c>
      <c r="H17" s="9" t="s">
        <v>114</v>
      </c>
      <c r="I17" s="9" t="s">
        <v>37</v>
      </c>
      <c r="J17" s="9" t="s">
        <v>156</v>
      </c>
      <c r="K17" s="9" t="e">
        <v>#N/A</v>
      </c>
      <c r="L17" s="9" t="s">
        <v>697</v>
      </c>
      <c r="M17" s="9" t="s">
        <v>697</v>
      </c>
      <c r="N17" s="9" t="s">
        <v>697</v>
      </c>
      <c r="O17" s="9" t="s">
        <v>64</v>
      </c>
      <c r="P17" s="9" t="s">
        <v>107</v>
      </c>
      <c r="Q17" s="9" t="s">
        <v>781</v>
      </c>
      <c r="R17" s="57">
        <v>46259</v>
      </c>
      <c r="S17" s="9" t="s">
        <v>782</v>
      </c>
      <c r="T17" s="57">
        <v>46259</v>
      </c>
      <c r="U17" s="9" t="s">
        <v>697</v>
      </c>
      <c r="V17" s="57">
        <v>46265</v>
      </c>
      <c r="Y17" s="9" t="s">
        <v>66</v>
      </c>
      <c r="Z17" s="9" t="s">
        <v>219</v>
      </c>
      <c r="AA17" s="9" t="s">
        <v>783</v>
      </c>
      <c r="AB17" s="9" t="s">
        <v>697</v>
      </c>
      <c r="AC17" s="9" t="s">
        <v>42</v>
      </c>
      <c r="AD17" s="9" t="s">
        <v>53</v>
      </c>
      <c r="AE17" s="57">
        <v>46259</v>
      </c>
      <c r="AF17" s="9" t="s">
        <v>114</v>
      </c>
      <c r="AG17" s="57">
        <v>46259</v>
      </c>
      <c r="AH17" s="9" t="s">
        <v>114</v>
      </c>
      <c r="AI17" s="9">
        <v>100</v>
      </c>
      <c r="AJ17" s="9">
        <v>100</v>
      </c>
      <c r="AK17" s="9">
        <v>100</v>
      </c>
      <c r="AL17" s="9" t="s">
        <v>697</v>
      </c>
      <c r="AN17" s="9" t="s">
        <v>697</v>
      </c>
      <c r="AO17" s="9" t="s">
        <v>938</v>
      </c>
      <c r="AP17" s="9">
        <v>11</v>
      </c>
      <c r="AQ17" s="9" t="s">
        <v>593</v>
      </c>
      <c r="AR17" s="9" t="s">
        <v>534</v>
      </c>
      <c r="AS17" s="9" t="s">
        <v>536</v>
      </c>
      <c r="AT17" s="9" t="e">
        <v>#VALUE!</v>
      </c>
      <c r="AU17" s="9">
        <v>0</v>
      </c>
    </row>
    <row r="18" spans="1:47" s="9" customFormat="1" ht="15" x14ac:dyDescent="0.25">
      <c r="A18" s="54">
        <v>944</v>
      </c>
      <c r="B18" s="9" t="s">
        <v>54</v>
      </c>
      <c r="C18" s="9" t="s">
        <v>14</v>
      </c>
      <c r="D18" s="9" t="s">
        <v>584</v>
      </c>
      <c r="E18" s="9" t="s">
        <v>163</v>
      </c>
      <c r="F18" s="9" t="s">
        <v>55</v>
      </c>
      <c r="G18" s="57">
        <v>46140</v>
      </c>
      <c r="H18" s="9" t="s">
        <v>56</v>
      </c>
      <c r="I18" s="9" t="s">
        <v>111</v>
      </c>
      <c r="J18" s="9" t="s">
        <v>156</v>
      </c>
      <c r="K18" s="54" t="e">
        <v>#N/A</v>
      </c>
      <c r="L18" s="9" t="s">
        <v>196</v>
      </c>
      <c r="M18" s="9" t="s">
        <v>697</v>
      </c>
      <c r="N18" s="9" t="s">
        <v>697</v>
      </c>
      <c r="O18" s="9" t="s">
        <v>57</v>
      </c>
      <c r="P18" s="9" t="s">
        <v>163</v>
      </c>
      <c r="Q18" s="9" t="s">
        <v>197</v>
      </c>
      <c r="R18" s="57">
        <v>46237</v>
      </c>
      <c r="S18" s="9" t="s">
        <v>60</v>
      </c>
      <c r="U18" s="9" t="s">
        <v>697</v>
      </c>
      <c r="V18" s="57">
        <v>46248</v>
      </c>
      <c r="Y18" s="9" t="s">
        <v>56</v>
      </c>
      <c r="Z18" s="9" t="s">
        <v>697</v>
      </c>
      <c r="AA18" s="9" t="s">
        <v>198</v>
      </c>
      <c r="AB18" s="9" t="s">
        <v>199</v>
      </c>
      <c r="AC18" s="9" t="s">
        <v>42</v>
      </c>
      <c r="AD18" s="9" t="s">
        <v>53</v>
      </c>
      <c r="AE18" s="57">
        <v>46237</v>
      </c>
      <c r="AF18" s="9" t="s">
        <v>155</v>
      </c>
      <c r="AG18" s="57">
        <v>46237</v>
      </c>
      <c r="AH18" s="9" t="s">
        <v>155</v>
      </c>
      <c r="AI18" s="9">
        <v>100</v>
      </c>
      <c r="AJ18" s="9">
        <v>100</v>
      </c>
      <c r="AK18" s="9">
        <v>50</v>
      </c>
      <c r="AL18" s="9" t="s">
        <v>697</v>
      </c>
      <c r="AN18" s="9" t="s">
        <v>697</v>
      </c>
      <c r="AO18" s="9" t="s">
        <v>939</v>
      </c>
      <c r="AP18" s="9">
        <v>125</v>
      </c>
      <c r="AQ18" s="9" t="s">
        <v>591</v>
      </c>
      <c r="AR18" s="9" t="s">
        <v>535</v>
      </c>
      <c r="AS18" s="9" t="s">
        <v>537</v>
      </c>
      <c r="AT18" s="9" t="s">
        <v>42</v>
      </c>
      <c r="AU18" s="9">
        <v>28</v>
      </c>
    </row>
    <row r="19" spans="1:47" s="9" customFormat="1" ht="15" x14ac:dyDescent="0.25">
      <c r="A19" s="56">
        <v>1045</v>
      </c>
      <c r="B19" s="56" t="s">
        <v>43</v>
      </c>
      <c r="C19" s="56" t="s">
        <v>116</v>
      </c>
      <c r="D19" s="56" t="s">
        <v>579</v>
      </c>
      <c r="E19" s="56" t="s">
        <v>215</v>
      </c>
      <c r="F19" s="9" t="s">
        <v>35</v>
      </c>
      <c r="G19" s="57">
        <v>46254</v>
      </c>
      <c r="H19" s="9" t="s">
        <v>44</v>
      </c>
      <c r="I19" s="9" t="s">
        <v>37</v>
      </c>
      <c r="J19" s="9" t="s">
        <v>156</v>
      </c>
      <c r="K19" s="9" t="s">
        <v>579</v>
      </c>
      <c r="L19" s="9" t="s">
        <v>664</v>
      </c>
      <c r="M19" s="9" t="s">
        <v>697</v>
      </c>
      <c r="N19" s="9" t="s">
        <v>665</v>
      </c>
      <c r="O19" s="9" t="s">
        <v>39</v>
      </c>
      <c r="P19" s="9" t="s">
        <v>215</v>
      </c>
      <c r="Q19" s="9" t="s">
        <v>666</v>
      </c>
      <c r="R19" s="57">
        <v>46253</v>
      </c>
      <c r="S19" s="9" t="s">
        <v>667</v>
      </c>
      <c r="U19" s="9" t="s">
        <v>697</v>
      </c>
      <c r="V19" s="57">
        <v>46284</v>
      </c>
      <c r="Y19" s="9" t="s">
        <v>72</v>
      </c>
      <c r="Z19" s="9" t="s">
        <v>697</v>
      </c>
      <c r="AA19" s="9" t="s">
        <v>668</v>
      </c>
      <c r="AB19" s="9" t="s">
        <v>44</v>
      </c>
      <c r="AC19" s="9" t="s">
        <v>42</v>
      </c>
      <c r="AD19" s="9" t="s">
        <v>53</v>
      </c>
      <c r="AE19" s="57">
        <v>46254</v>
      </c>
      <c r="AF19" s="9" t="s">
        <v>155</v>
      </c>
      <c r="AG19" s="57">
        <v>46254</v>
      </c>
      <c r="AH19" s="9" t="s">
        <v>155</v>
      </c>
      <c r="AI19" s="9">
        <v>100</v>
      </c>
      <c r="AJ19" s="9">
        <v>100</v>
      </c>
      <c r="AK19" s="9">
        <v>50</v>
      </c>
      <c r="AL19" s="9" t="s">
        <v>654</v>
      </c>
      <c r="AN19" s="9" t="s">
        <v>653</v>
      </c>
      <c r="AO19" s="9" t="s">
        <v>949</v>
      </c>
      <c r="AP19" s="9">
        <v>11</v>
      </c>
      <c r="AQ19" s="9" t="s">
        <v>593</v>
      </c>
      <c r="AR19" s="9" t="s">
        <v>534</v>
      </c>
      <c r="AS19" s="9" t="s">
        <v>536</v>
      </c>
      <c r="AT19" s="9" t="e">
        <v>#VALUE!</v>
      </c>
      <c r="AU19" s="9">
        <v>12</v>
      </c>
    </row>
    <row r="20" spans="1:47" s="9" customFormat="1" ht="15" x14ac:dyDescent="0.25">
      <c r="A20" s="9">
        <v>1068</v>
      </c>
      <c r="B20" s="9" t="s">
        <v>43</v>
      </c>
      <c r="C20" s="9" t="s">
        <v>14</v>
      </c>
      <c r="D20" s="9" t="s">
        <v>579</v>
      </c>
      <c r="E20" s="9" t="s">
        <v>774</v>
      </c>
      <c r="F20" s="9" t="s">
        <v>35</v>
      </c>
      <c r="G20" s="57">
        <v>46255</v>
      </c>
      <c r="H20" s="9" t="s">
        <v>56</v>
      </c>
      <c r="I20" s="9" t="s">
        <v>37</v>
      </c>
      <c r="J20" s="9" t="s">
        <v>156</v>
      </c>
      <c r="K20" s="9" t="e">
        <v>#N/A</v>
      </c>
      <c r="L20" s="9" t="s">
        <v>697</v>
      </c>
      <c r="M20" s="9" t="s">
        <v>697</v>
      </c>
      <c r="N20" s="9" t="s">
        <v>773</v>
      </c>
      <c r="O20" s="9" t="s">
        <v>57</v>
      </c>
      <c r="P20" s="9" t="s">
        <v>774</v>
      </c>
      <c r="Q20" s="9" t="s">
        <v>871</v>
      </c>
      <c r="R20" s="57">
        <v>46259</v>
      </c>
      <c r="S20" s="9" t="s">
        <v>872</v>
      </c>
      <c r="T20" s="57">
        <v>46261</v>
      </c>
      <c r="U20" s="9" t="s">
        <v>697</v>
      </c>
      <c r="V20" s="57">
        <v>46280</v>
      </c>
      <c r="Y20" s="9" t="s">
        <v>72</v>
      </c>
      <c r="Z20" s="9" t="s">
        <v>82</v>
      </c>
      <c r="AA20" s="9" t="s">
        <v>697</v>
      </c>
      <c r="AB20" s="9" t="s">
        <v>697</v>
      </c>
      <c r="AC20" s="9" t="s">
        <v>212</v>
      </c>
      <c r="AD20" s="9" t="s">
        <v>53</v>
      </c>
      <c r="AE20" s="57">
        <v>46261</v>
      </c>
      <c r="AF20" s="9" t="s">
        <v>83</v>
      </c>
      <c r="AG20" s="57">
        <v>46261</v>
      </c>
      <c r="AH20" s="9" t="s">
        <v>83</v>
      </c>
      <c r="AI20" s="9">
        <v>100</v>
      </c>
      <c r="AJ20" s="9">
        <v>100</v>
      </c>
      <c r="AK20" s="9">
        <v>100</v>
      </c>
      <c r="AL20" s="9" t="s">
        <v>697</v>
      </c>
      <c r="AN20" s="9" t="s">
        <v>697</v>
      </c>
      <c r="AO20" s="9" t="s">
        <v>941</v>
      </c>
      <c r="AP20" s="9">
        <v>10</v>
      </c>
      <c r="AQ20" s="9" t="s">
        <v>593</v>
      </c>
      <c r="AR20" s="9" t="s">
        <v>534</v>
      </c>
      <c r="AS20" s="9" t="s">
        <v>536</v>
      </c>
      <c r="AT20" s="9" t="e">
        <v>#VALUE!</v>
      </c>
      <c r="AU20" s="9">
        <v>2</v>
      </c>
    </row>
    <row r="21" spans="1:47" s="9" customFormat="1" ht="15" x14ac:dyDescent="0.25">
      <c r="A21" s="9">
        <v>1057</v>
      </c>
      <c r="B21" s="9" t="s">
        <v>43</v>
      </c>
      <c r="C21" s="9" t="s">
        <v>102</v>
      </c>
      <c r="D21" s="9" t="s">
        <v>579</v>
      </c>
      <c r="E21" s="9" t="s">
        <v>183</v>
      </c>
      <c r="F21" s="9" t="s">
        <v>35</v>
      </c>
      <c r="G21" s="57">
        <v>46255</v>
      </c>
      <c r="H21" s="9" t="s">
        <v>44</v>
      </c>
      <c r="I21" s="9" t="s">
        <v>37</v>
      </c>
      <c r="J21" s="9" t="s">
        <v>156</v>
      </c>
      <c r="K21" s="9" t="e">
        <v>#N/A</v>
      </c>
      <c r="L21" s="9" t="s">
        <v>754</v>
      </c>
      <c r="M21" s="9" t="s">
        <v>697</v>
      </c>
      <c r="N21" s="9" t="s">
        <v>755</v>
      </c>
      <c r="O21" s="9" t="s">
        <v>57</v>
      </c>
      <c r="P21" s="9" t="s">
        <v>183</v>
      </c>
      <c r="Q21" s="9" t="s">
        <v>756</v>
      </c>
      <c r="R21" s="57">
        <v>46258</v>
      </c>
      <c r="S21" s="9" t="s">
        <v>757</v>
      </c>
      <c r="U21" s="9" t="s">
        <v>697</v>
      </c>
      <c r="V21" s="57">
        <v>46285</v>
      </c>
      <c r="Y21" s="9" t="s">
        <v>72</v>
      </c>
      <c r="Z21" s="9" t="s">
        <v>697</v>
      </c>
      <c r="AA21" s="9" t="s">
        <v>758</v>
      </c>
      <c r="AB21" s="9" t="s">
        <v>44</v>
      </c>
      <c r="AC21" s="9" t="s">
        <v>42</v>
      </c>
      <c r="AD21" s="9" t="s">
        <v>53</v>
      </c>
      <c r="AE21" s="57">
        <v>46258</v>
      </c>
      <c r="AF21" s="9" t="s">
        <v>71</v>
      </c>
      <c r="AG21" s="57">
        <v>46258</v>
      </c>
      <c r="AH21" s="9" t="s">
        <v>71</v>
      </c>
      <c r="AI21" s="9">
        <v>100</v>
      </c>
      <c r="AJ21" s="9">
        <v>100</v>
      </c>
      <c r="AK21" s="9">
        <v>50</v>
      </c>
      <c r="AL21" s="9" t="s">
        <v>654</v>
      </c>
      <c r="AN21" s="9" t="s">
        <v>653</v>
      </c>
      <c r="AO21" s="9" t="s">
        <v>947</v>
      </c>
      <c r="AP21" s="9">
        <v>10</v>
      </c>
      <c r="AQ21" s="9" t="s">
        <v>593</v>
      </c>
      <c r="AR21" s="9" t="s">
        <v>534</v>
      </c>
      <c r="AS21" s="9" t="s">
        <v>536</v>
      </c>
      <c r="AT21" s="9" t="e">
        <v>#VALUE!</v>
      </c>
      <c r="AU21" s="9">
        <v>7</v>
      </c>
    </row>
    <row r="22" spans="1:47" s="9" customFormat="1" ht="15" x14ac:dyDescent="0.25">
      <c r="A22" s="9">
        <v>1060</v>
      </c>
      <c r="B22" s="9" t="s">
        <v>43</v>
      </c>
      <c r="C22" s="9" t="s">
        <v>14</v>
      </c>
      <c r="D22" s="9" t="s">
        <v>579</v>
      </c>
      <c r="E22" s="9" t="s">
        <v>107</v>
      </c>
      <c r="F22" s="9" t="s">
        <v>35</v>
      </c>
      <c r="G22" s="57">
        <v>46258</v>
      </c>
      <c r="H22" s="9" t="s">
        <v>114</v>
      </c>
      <c r="I22" s="9" t="s">
        <v>37</v>
      </c>
      <c r="J22" s="9" t="s">
        <v>156</v>
      </c>
      <c r="K22" s="9" t="e">
        <v>#N/A</v>
      </c>
      <c r="L22" s="9" t="s">
        <v>760</v>
      </c>
      <c r="M22" s="9" t="s">
        <v>697</v>
      </c>
      <c r="N22" s="9" t="s">
        <v>761</v>
      </c>
      <c r="O22" s="9" t="s">
        <v>64</v>
      </c>
      <c r="P22" s="9" t="s">
        <v>107</v>
      </c>
      <c r="Q22" s="9" t="s">
        <v>762</v>
      </c>
      <c r="R22" s="57">
        <v>46258</v>
      </c>
      <c r="S22" s="9" t="s">
        <v>763</v>
      </c>
      <c r="U22" s="9" t="s">
        <v>697</v>
      </c>
      <c r="V22" s="57">
        <v>46265</v>
      </c>
      <c r="Y22" s="9" t="s">
        <v>72</v>
      </c>
      <c r="Z22" s="9" t="s">
        <v>697</v>
      </c>
      <c r="AA22" s="9" t="s">
        <v>697</v>
      </c>
      <c r="AB22" s="9" t="s">
        <v>697</v>
      </c>
      <c r="AC22" s="9" t="s">
        <v>42</v>
      </c>
      <c r="AD22" s="9" t="s">
        <v>53</v>
      </c>
      <c r="AE22" s="57">
        <v>46259</v>
      </c>
      <c r="AF22" s="9" t="s">
        <v>155</v>
      </c>
      <c r="AG22" s="57">
        <v>46259</v>
      </c>
      <c r="AH22" s="9" t="s">
        <v>155</v>
      </c>
      <c r="AI22" s="9">
        <v>100</v>
      </c>
      <c r="AJ22" s="9">
        <v>100</v>
      </c>
      <c r="AK22" s="9">
        <v>50</v>
      </c>
      <c r="AL22" s="9" t="s">
        <v>654</v>
      </c>
      <c r="AN22" s="9" t="s">
        <v>653</v>
      </c>
      <c r="AO22" s="9" t="s">
        <v>938</v>
      </c>
      <c r="AP22" s="9">
        <v>7</v>
      </c>
      <c r="AQ22" s="9" t="s">
        <v>593</v>
      </c>
      <c r="AR22" s="9" t="s">
        <v>534</v>
      </c>
      <c r="AS22" s="9" t="s">
        <v>536</v>
      </c>
      <c r="AT22" s="9" t="e">
        <v>#VALUE!</v>
      </c>
      <c r="AU22" s="9">
        <v>7</v>
      </c>
    </row>
    <row r="23" spans="1:47" s="9" customFormat="1" ht="15" x14ac:dyDescent="0.25">
      <c r="A23" s="9">
        <v>1061</v>
      </c>
      <c r="B23" s="9" t="s">
        <v>43</v>
      </c>
      <c r="C23" s="9" t="s">
        <v>14</v>
      </c>
      <c r="D23" s="9" t="s">
        <v>579</v>
      </c>
      <c r="E23" s="9" t="s">
        <v>107</v>
      </c>
      <c r="F23" s="9" t="s">
        <v>35</v>
      </c>
      <c r="G23" s="57">
        <v>46258</v>
      </c>
      <c r="H23" s="9" t="s">
        <v>114</v>
      </c>
      <c r="I23" s="9" t="s">
        <v>37</v>
      </c>
      <c r="J23" s="9" t="s">
        <v>156</v>
      </c>
      <c r="K23" s="9" t="e">
        <v>#N/A</v>
      </c>
      <c r="L23" s="9" t="s">
        <v>760</v>
      </c>
      <c r="M23" s="9" t="s">
        <v>697</v>
      </c>
      <c r="N23" s="9" t="s">
        <v>765</v>
      </c>
      <c r="O23" s="9" t="s">
        <v>64</v>
      </c>
      <c r="P23" s="9" t="s">
        <v>107</v>
      </c>
      <c r="Q23" s="9" t="s">
        <v>766</v>
      </c>
      <c r="R23" s="57">
        <v>46258</v>
      </c>
      <c r="S23" s="9" t="s">
        <v>767</v>
      </c>
      <c r="U23" s="9" t="s">
        <v>697</v>
      </c>
      <c r="V23" s="57">
        <v>46265</v>
      </c>
      <c r="Y23" s="9" t="s">
        <v>72</v>
      </c>
      <c r="Z23" s="9" t="s">
        <v>697</v>
      </c>
      <c r="AA23" s="9" t="s">
        <v>697</v>
      </c>
      <c r="AB23" s="9" t="s">
        <v>697</v>
      </c>
      <c r="AC23" s="9" t="s">
        <v>42</v>
      </c>
      <c r="AD23" s="9" t="s">
        <v>53</v>
      </c>
      <c r="AE23" s="57">
        <v>46259</v>
      </c>
      <c r="AF23" s="9" t="s">
        <v>155</v>
      </c>
      <c r="AG23" s="57">
        <v>46259</v>
      </c>
      <c r="AH23" s="9" t="s">
        <v>155</v>
      </c>
      <c r="AI23" s="9">
        <v>100</v>
      </c>
      <c r="AJ23" s="9">
        <v>100</v>
      </c>
      <c r="AK23" s="9">
        <v>50</v>
      </c>
      <c r="AL23" s="9" t="s">
        <v>654</v>
      </c>
      <c r="AN23" s="9" t="s">
        <v>653</v>
      </c>
      <c r="AO23" s="9" t="s">
        <v>938</v>
      </c>
      <c r="AP23" s="9">
        <v>7</v>
      </c>
      <c r="AQ23" s="9" t="s">
        <v>593</v>
      </c>
      <c r="AR23" s="9" t="s">
        <v>534</v>
      </c>
      <c r="AS23" s="9" t="s">
        <v>536</v>
      </c>
      <c r="AT23" s="9" t="e">
        <v>#VALUE!</v>
      </c>
      <c r="AU23" s="9">
        <v>7</v>
      </c>
    </row>
    <row r="24" spans="1:47" s="9" customFormat="1" ht="15" x14ac:dyDescent="0.25">
      <c r="A24" s="9">
        <v>1062</v>
      </c>
      <c r="B24" s="9" t="s">
        <v>43</v>
      </c>
      <c r="C24" s="9" t="s">
        <v>14</v>
      </c>
      <c r="D24" s="9" t="s">
        <v>579</v>
      </c>
      <c r="E24" s="9" t="s">
        <v>107</v>
      </c>
      <c r="F24" s="9" t="s">
        <v>35</v>
      </c>
      <c r="G24" s="57">
        <v>46258</v>
      </c>
      <c r="H24" s="9" t="s">
        <v>114</v>
      </c>
      <c r="I24" s="9" t="s">
        <v>37</v>
      </c>
      <c r="J24" s="9" t="s">
        <v>156</v>
      </c>
      <c r="K24" s="9" t="e">
        <v>#N/A</v>
      </c>
      <c r="L24" s="9" t="s">
        <v>769</v>
      </c>
      <c r="M24" s="9" t="s">
        <v>697</v>
      </c>
      <c r="N24" s="9" t="s">
        <v>770</v>
      </c>
      <c r="O24" s="9" t="s">
        <v>64</v>
      </c>
      <c r="P24" s="9" t="s">
        <v>107</v>
      </c>
      <c r="Q24" s="9" t="s">
        <v>766</v>
      </c>
      <c r="R24" s="57">
        <v>46258</v>
      </c>
      <c r="S24" s="9" t="s">
        <v>767</v>
      </c>
      <c r="U24" s="9" t="s">
        <v>697</v>
      </c>
      <c r="V24" s="57">
        <v>46265</v>
      </c>
      <c r="Y24" s="9" t="s">
        <v>72</v>
      </c>
      <c r="Z24" s="9" t="s">
        <v>697</v>
      </c>
      <c r="AA24" s="9" t="s">
        <v>697</v>
      </c>
      <c r="AB24" s="9" t="s">
        <v>697</v>
      </c>
      <c r="AC24" s="9" t="s">
        <v>42</v>
      </c>
      <c r="AD24" s="9" t="s">
        <v>53</v>
      </c>
      <c r="AE24" s="57">
        <v>46259</v>
      </c>
      <c r="AF24" s="9" t="s">
        <v>155</v>
      </c>
      <c r="AG24" s="57">
        <v>46259</v>
      </c>
      <c r="AH24" s="9" t="s">
        <v>155</v>
      </c>
      <c r="AI24" s="9">
        <v>100</v>
      </c>
      <c r="AJ24" s="9">
        <v>100</v>
      </c>
      <c r="AK24" s="9">
        <v>50</v>
      </c>
      <c r="AL24" s="9" t="s">
        <v>654</v>
      </c>
      <c r="AN24" s="9" t="s">
        <v>653</v>
      </c>
      <c r="AO24" s="9" t="s">
        <v>938</v>
      </c>
      <c r="AP24" s="9">
        <v>7</v>
      </c>
      <c r="AQ24" s="9" t="s">
        <v>593</v>
      </c>
      <c r="AR24" s="9" t="s">
        <v>534</v>
      </c>
      <c r="AS24" s="9" t="s">
        <v>536</v>
      </c>
      <c r="AT24" s="9" t="e">
        <v>#VALUE!</v>
      </c>
      <c r="AU24" s="9">
        <v>7</v>
      </c>
    </row>
    <row r="25" spans="1:47" s="9" customFormat="1" ht="15" x14ac:dyDescent="0.25">
      <c r="A25" s="9">
        <v>1064</v>
      </c>
      <c r="B25" s="9" t="s">
        <v>43</v>
      </c>
      <c r="C25" s="9" t="s">
        <v>14</v>
      </c>
      <c r="D25" s="9" t="s">
        <v>579</v>
      </c>
      <c r="E25" s="9" t="s">
        <v>774</v>
      </c>
      <c r="F25" s="9" t="s">
        <v>35</v>
      </c>
      <c r="G25" s="57">
        <v>46258</v>
      </c>
      <c r="H25" s="9" t="s">
        <v>114</v>
      </c>
      <c r="I25" s="9" t="s">
        <v>37</v>
      </c>
      <c r="J25" s="9" t="s">
        <v>156</v>
      </c>
      <c r="K25" s="9" t="e">
        <v>#N/A</v>
      </c>
      <c r="L25" s="9" t="s">
        <v>772</v>
      </c>
      <c r="M25" s="9" t="s">
        <v>697</v>
      </c>
      <c r="N25" s="9" t="s">
        <v>773</v>
      </c>
      <c r="O25" s="9" t="s">
        <v>57</v>
      </c>
      <c r="P25" s="9" t="s">
        <v>774</v>
      </c>
      <c r="Q25" s="9" t="s">
        <v>775</v>
      </c>
      <c r="R25" s="57">
        <v>46258</v>
      </c>
      <c r="S25" s="9" t="s">
        <v>779</v>
      </c>
      <c r="U25" s="9" t="s">
        <v>697</v>
      </c>
      <c r="V25" s="57">
        <v>46295</v>
      </c>
      <c r="Y25" s="9" t="s">
        <v>72</v>
      </c>
      <c r="Z25" s="9" t="s">
        <v>697</v>
      </c>
      <c r="AA25" s="9" t="s">
        <v>697</v>
      </c>
      <c r="AB25" s="9" t="s">
        <v>56</v>
      </c>
      <c r="AC25" s="9" t="s">
        <v>42</v>
      </c>
      <c r="AD25" s="9" t="s">
        <v>53</v>
      </c>
      <c r="AE25" s="57">
        <v>46259</v>
      </c>
      <c r="AF25" s="9" t="s">
        <v>155</v>
      </c>
      <c r="AG25" s="57">
        <v>46259</v>
      </c>
      <c r="AH25" s="9" t="s">
        <v>155</v>
      </c>
      <c r="AI25" s="9">
        <v>100</v>
      </c>
      <c r="AJ25" s="9">
        <v>100</v>
      </c>
      <c r="AK25" s="9">
        <v>50</v>
      </c>
      <c r="AL25" s="9" t="s">
        <v>654</v>
      </c>
      <c r="AN25" s="9" t="s">
        <v>653</v>
      </c>
      <c r="AO25" s="9" t="s">
        <v>941</v>
      </c>
      <c r="AP25" s="9">
        <v>7</v>
      </c>
      <c r="AQ25" s="9" t="s">
        <v>593</v>
      </c>
      <c r="AR25" s="9" t="s">
        <v>534</v>
      </c>
      <c r="AS25" s="9" t="s">
        <v>536</v>
      </c>
      <c r="AT25" s="9" t="e">
        <v>#VALUE!</v>
      </c>
      <c r="AU25" s="9">
        <v>7</v>
      </c>
    </row>
    <row r="26" spans="1:47" s="9" customFormat="1" ht="15" x14ac:dyDescent="0.25">
      <c r="A26" s="9">
        <v>1073</v>
      </c>
      <c r="B26" s="9" t="s">
        <v>43</v>
      </c>
      <c r="C26" s="9" t="s">
        <v>80</v>
      </c>
      <c r="D26" s="9" t="s">
        <v>579</v>
      </c>
      <c r="E26" s="9" t="s">
        <v>273</v>
      </c>
      <c r="F26" s="9" t="s">
        <v>35</v>
      </c>
      <c r="G26" s="57">
        <v>46262</v>
      </c>
      <c r="H26" s="9" t="s">
        <v>44</v>
      </c>
      <c r="I26" s="9" t="s">
        <v>37</v>
      </c>
      <c r="J26" s="9" t="s">
        <v>156</v>
      </c>
      <c r="K26" s="9" t="e">
        <v>#N/A</v>
      </c>
      <c r="L26" s="9" t="s">
        <v>788</v>
      </c>
      <c r="M26" s="9" t="s">
        <v>697</v>
      </c>
      <c r="N26" s="9" t="s">
        <v>747</v>
      </c>
      <c r="O26" s="9" t="s">
        <v>39</v>
      </c>
      <c r="P26" s="9" t="s">
        <v>273</v>
      </c>
      <c r="Q26" s="9" t="s">
        <v>789</v>
      </c>
      <c r="R26" s="57">
        <v>46262</v>
      </c>
      <c r="S26" s="9" t="s">
        <v>790</v>
      </c>
      <c r="U26" s="9" t="s">
        <v>697</v>
      </c>
      <c r="V26" s="57">
        <v>46280</v>
      </c>
      <c r="Y26" s="9" t="s">
        <v>72</v>
      </c>
      <c r="Z26" s="9" t="s">
        <v>697</v>
      </c>
      <c r="AA26" s="9" t="s">
        <v>791</v>
      </c>
      <c r="AB26" s="9" t="s">
        <v>44</v>
      </c>
      <c r="AC26" s="9" t="s">
        <v>42</v>
      </c>
      <c r="AD26" s="9" t="s">
        <v>53</v>
      </c>
      <c r="AE26" s="57">
        <v>46262</v>
      </c>
      <c r="AF26" s="9" t="s">
        <v>71</v>
      </c>
      <c r="AG26" s="57">
        <v>46262</v>
      </c>
      <c r="AH26" s="9" t="s">
        <v>71</v>
      </c>
      <c r="AI26" s="9">
        <v>100</v>
      </c>
      <c r="AJ26" s="9">
        <v>100</v>
      </c>
      <c r="AK26" s="9">
        <v>50</v>
      </c>
      <c r="AL26" s="9" t="s">
        <v>654</v>
      </c>
      <c r="AN26" s="9" t="s">
        <v>653</v>
      </c>
      <c r="AO26" s="9" t="s">
        <v>945</v>
      </c>
      <c r="AP26" s="9">
        <v>3</v>
      </c>
      <c r="AQ26" s="9" t="s">
        <v>590</v>
      </c>
      <c r="AR26" s="9" t="s">
        <v>534</v>
      </c>
      <c r="AS26" s="9" t="s">
        <v>536</v>
      </c>
      <c r="AT26" s="9" t="e">
        <v>#VALUE!</v>
      </c>
      <c r="AU26" s="9">
        <v>3</v>
      </c>
    </row>
    <row r="27" spans="1:47" s="9" customFormat="1" ht="15" x14ac:dyDescent="0.25">
      <c r="A27" s="9">
        <v>1027</v>
      </c>
      <c r="B27" s="9" t="s">
        <v>43</v>
      </c>
      <c r="C27" s="9" t="s">
        <v>14</v>
      </c>
      <c r="D27" s="9" t="s">
        <v>579</v>
      </c>
      <c r="E27" s="9" t="s">
        <v>273</v>
      </c>
      <c r="F27" s="9" t="s">
        <v>35</v>
      </c>
      <c r="G27" s="57">
        <v>46265</v>
      </c>
      <c r="H27" s="9" t="s">
        <v>88</v>
      </c>
      <c r="I27" s="9" t="s">
        <v>37</v>
      </c>
      <c r="J27" s="9" t="s">
        <v>156</v>
      </c>
      <c r="K27" s="9" t="s">
        <v>579</v>
      </c>
      <c r="L27" s="9" t="s">
        <v>697</v>
      </c>
      <c r="M27" s="9" t="s">
        <v>697</v>
      </c>
      <c r="N27" s="9" t="s">
        <v>747</v>
      </c>
      <c r="O27" s="9" t="s">
        <v>39</v>
      </c>
      <c r="P27" s="9" t="s">
        <v>273</v>
      </c>
      <c r="Q27" s="9" t="s">
        <v>634</v>
      </c>
      <c r="R27" s="57">
        <v>46252</v>
      </c>
      <c r="S27" s="9" t="s">
        <v>697</v>
      </c>
      <c r="T27" s="57">
        <v>46261</v>
      </c>
      <c r="U27" s="9" t="s">
        <v>697</v>
      </c>
      <c r="V27" s="57">
        <v>46265</v>
      </c>
      <c r="Y27" s="9" t="s">
        <v>72</v>
      </c>
      <c r="Z27" s="9" t="s">
        <v>82</v>
      </c>
      <c r="AA27" s="9" t="s">
        <v>635</v>
      </c>
      <c r="AB27" s="9" t="s">
        <v>697</v>
      </c>
      <c r="AC27" s="9" t="s">
        <v>42</v>
      </c>
      <c r="AD27" s="9" t="s">
        <v>53</v>
      </c>
      <c r="AE27" s="57">
        <v>46261</v>
      </c>
      <c r="AF27" s="9" t="s">
        <v>83</v>
      </c>
      <c r="AG27" s="57">
        <v>46261</v>
      </c>
      <c r="AH27" s="9" t="s">
        <v>83</v>
      </c>
      <c r="AI27" s="9">
        <v>100</v>
      </c>
      <c r="AJ27" s="9">
        <v>100</v>
      </c>
      <c r="AK27" s="9">
        <v>100</v>
      </c>
      <c r="AL27" s="9" t="s">
        <v>697</v>
      </c>
      <c r="AN27" s="9" t="s">
        <v>697</v>
      </c>
      <c r="AO27" s="9" t="s">
        <v>945</v>
      </c>
      <c r="AP27" s="9">
        <v>0</v>
      </c>
      <c r="AQ27" s="9" t="s">
        <v>590</v>
      </c>
      <c r="AR27" s="9" t="s">
        <v>534</v>
      </c>
      <c r="AS27" s="9" t="s">
        <v>536</v>
      </c>
      <c r="AT27" s="9" t="e">
        <v>#VALUE!</v>
      </c>
      <c r="AU27" s="9">
        <v>9</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55B0-A551-4D44-B223-3694E38BE1F0}">
  <dimension ref="C1:D34"/>
  <sheetViews>
    <sheetView topLeftCell="A16" workbookViewId="0">
      <selection activeCell="D33" sqref="D33"/>
    </sheetView>
  </sheetViews>
  <sheetFormatPr defaultRowHeight="15" x14ac:dyDescent="0.25"/>
  <cols>
    <col min="3" max="3" width="36.5703125" bestFit="1" customWidth="1"/>
    <col min="4" max="4" width="30.85546875" bestFit="1" customWidth="1"/>
  </cols>
  <sheetData>
    <row r="1" spans="3:4" x14ac:dyDescent="0.25">
      <c r="C1" s="40" t="s">
        <v>23</v>
      </c>
      <c r="D1" s="42" t="s">
        <v>578</v>
      </c>
    </row>
    <row r="2" spans="3:4" x14ac:dyDescent="0.25">
      <c r="C2" t="s">
        <v>72</v>
      </c>
      <c r="D2" s="47" t="s">
        <v>579</v>
      </c>
    </row>
    <row r="3" spans="3:4" x14ac:dyDescent="0.25">
      <c r="C3" t="s">
        <v>56</v>
      </c>
      <c r="D3" s="47" t="s">
        <v>584</v>
      </c>
    </row>
    <row r="4" spans="3:4" x14ac:dyDescent="0.25">
      <c r="C4" t="s">
        <v>66</v>
      </c>
      <c r="D4" s="47" t="s">
        <v>580</v>
      </c>
    </row>
    <row r="5" spans="3:4" x14ac:dyDescent="0.25">
      <c r="C5" t="s">
        <v>108</v>
      </c>
      <c r="D5" s="47" t="s">
        <v>582</v>
      </c>
    </row>
    <row r="6" spans="3:4" x14ac:dyDescent="0.25">
      <c r="C6" t="s">
        <v>77</v>
      </c>
      <c r="D6" s="47" t="s">
        <v>581</v>
      </c>
    </row>
    <row r="7" spans="3:4" x14ac:dyDescent="0.25">
      <c r="C7" t="s">
        <v>71</v>
      </c>
      <c r="D7" s="47" t="s">
        <v>118</v>
      </c>
    </row>
    <row r="8" spans="3:4" x14ac:dyDescent="0.25">
      <c r="C8" t="s">
        <v>44</v>
      </c>
      <c r="D8" s="47" t="s">
        <v>583</v>
      </c>
    </row>
    <row r="9" spans="3:4" x14ac:dyDescent="0.25">
      <c r="C9" t="s">
        <v>36</v>
      </c>
      <c r="D9" s="47" t="s">
        <v>584</v>
      </c>
    </row>
    <row r="10" spans="3:4" x14ac:dyDescent="0.25">
      <c r="C10" t="s">
        <v>69</v>
      </c>
      <c r="D10" s="47" t="s">
        <v>579</v>
      </c>
    </row>
    <row r="11" spans="3:4" x14ac:dyDescent="0.25">
      <c r="C11" t="s">
        <v>170</v>
      </c>
      <c r="D11" s="47" t="s">
        <v>579</v>
      </c>
    </row>
    <row r="12" spans="3:4" x14ac:dyDescent="0.25">
      <c r="C12" t="s">
        <v>88</v>
      </c>
      <c r="D12" s="47" t="s">
        <v>584</v>
      </c>
    </row>
    <row r="13" spans="3:4" x14ac:dyDescent="0.25">
      <c r="C13" t="s">
        <v>86</v>
      </c>
      <c r="D13" s="47" t="s">
        <v>580</v>
      </c>
    </row>
    <row r="14" spans="3:4" x14ac:dyDescent="0.25">
      <c r="C14" t="s">
        <v>994</v>
      </c>
      <c r="D14" s="47" t="s">
        <v>579</v>
      </c>
    </row>
    <row r="15" spans="3:4" x14ac:dyDescent="0.25">
      <c r="C15" t="s">
        <v>1014</v>
      </c>
      <c r="D15" s="47" t="s">
        <v>585</v>
      </c>
    </row>
    <row r="16" spans="3:4" x14ac:dyDescent="0.25">
      <c r="C16" t="s">
        <v>1016</v>
      </c>
      <c r="D16" s="47" t="s">
        <v>1028</v>
      </c>
    </row>
    <row r="17" spans="3:4" x14ac:dyDescent="0.25">
      <c r="C17" t="s">
        <v>67</v>
      </c>
      <c r="D17" s="47" t="s">
        <v>583</v>
      </c>
    </row>
    <row r="18" spans="3:4" x14ac:dyDescent="0.25">
      <c r="C18" t="s">
        <v>49</v>
      </c>
      <c r="D18" s="47" t="s">
        <v>584</v>
      </c>
    </row>
    <row r="19" spans="3:4" x14ac:dyDescent="0.25">
      <c r="C19" t="s">
        <v>75</v>
      </c>
      <c r="D19" s="47" t="s">
        <v>585</v>
      </c>
    </row>
    <row r="20" spans="3:4" x14ac:dyDescent="0.25">
      <c r="C20" t="s">
        <v>81</v>
      </c>
      <c r="D20" s="47" t="s">
        <v>582</v>
      </c>
    </row>
    <row r="21" spans="3:4" x14ac:dyDescent="0.25">
      <c r="C21" t="s">
        <v>491</v>
      </c>
      <c r="D21" s="47" t="s">
        <v>243</v>
      </c>
    </row>
    <row r="22" spans="3:4" x14ac:dyDescent="0.25">
      <c r="C22" t="s">
        <v>106</v>
      </c>
      <c r="D22" s="47" t="s">
        <v>582</v>
      </c>
    </row>
    <row r="23" spans="3:4" x14ac:dyDescent="0.25">
      <c r="C23" t="s">
        <v>41</v>
      </c>
      <c r="D23" s="47" t="s">
        <v>581</v>
      </c>
    </row>
    <row r="24" spans="3:4" x14ac:dyDescent="0.25">
      <c r="C24" t="s">
        <v>274</v>
      </c>
      <c r="D24" s="47" t="s">
        <v>581</v>
      </c>
    </row>
    <row r="25" spans="3:4" x14ac:dyDescent="0.25">
      <c r="C25" t="s">
        <v>515</v>
      </c>
      <c r="D25" s="41" t="s">
        <v>98</v>
      </c>
    </row>
    <row r="26" spans="3:4" x14ac:dyDescent="0.25">
      <c r="C26" t="s">
        <v>113</v>
      </c>
      <c r="D26" s="47" t="s">
        <v>118</v>
      </c>
    </row>
    <row r="27" spans="3:4" x14ac:dyDescent="0.25">
      <c r="C27" t="s">
        <v>246</v>
      </c>
      <c r="D27" s="47" t="s">
        <v>243</v>
      </c>
    </row>
    <row r="28" spans="3:4" x14ac:dyDescent="0.25">
      <c r="C28" t="s">
        <v>721</v>
      </c>
      <c r="D28" s="47" t="s">
        <v>581</v>
      </c>
    </row>
    <row r="29" spans="3:4" x14ac:dyDescent="0.25">
      <c r="C29" s="59" t="s">
        <v>1036</v>
      </c>
      <c r="D29" s="47" t="s">
        <v>580</v>
      </c>
    </row>
    <row r="30" spans="3:4" x14ac:dyDescent="0.25">
      <c r="C30" s="59" t="s">
        <v>1068</v>
      </c>
      <c r="D30" s="47" t="s">
        <v>1081</v>
      </c>
    </row>
    <row r="31" spans="3:4" x14ac:dyDescent="0.25">
      <c r="C31" s="59" t="s">
        <v>375</v>
      </c>
      <c r="D31" s="47" t="s">
        <v>580</v>
      </c>
    </row>
    <row r="32" spans="3:4" x14ac:dyDescent="0.25">
      <c r="C32" t="s">
        <v>679</v>
      </c>
      <c r="D32" s="47" t="s">
        <v>581</v>
      </c>
    </row>
    <row r="33" spans="3:4" x14ac:dyDescent="0.25">
      <c r="C33" s="59" t="s">
        <v>103</v>
      </c>
      <c r="D33" s="47" t="s">
        <v>118</v>
      </c>
    </row>
    <row r="34" spans="3:4" x14ac:dyDescent="0.25">
      <c r="C34" t="s">
        <v>93</v>
      </c>
      <c r="D34" s="47" t="s">
        <v>584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DOMO</vt:lpstr>
      <vt:lpstr>RESUMO</vt:lpstr>
      <vt:lpstr>Analitico</vt:lpstr>
      <vt:lpstr>Prioridades s-atual</vt:lpstr>
      <vt:lpstr>Prioridades s-1</vt:lpstr>
      <vt:lpstr>pontos focais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Aline da Silva Mesquita</dc:creator>
  <cp:lastModifiedBy>Steffany Goncalves da Silva</cp:lastModifiedBy>
  <dcterms:created xsi:type="dcterms:W3CDTF">2026-08-13T18:53:33Z</dcterms:created>
  <dcterms:modified xsi:type="dcterms:W3CDTF">2026-09-23T20:29:04Z</dcterms:modified>
</cp:coreProperties>
</file>